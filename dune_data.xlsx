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iabierly/Desktop/bio370/paper2/"/>
    </mc:Choice>
  </mc:AlternateContent>
  <xr:revisionPtr revIDLastSave="0" documentId="13_ncr:1_{7EAB0862-4C56-3C48-B694-F9E439FA7056}" xr6:coauthVersionLast="47" xr6:coauthVersionMax="47" xr10:uidLastSave="{00000000-0000-0000-0000-000000000000}"/>
  <bookViews>
    <workbookView xWindow="14140" yWindow="740" windowWidth="15260" windowHeight="17700" xr2:uid="{D5F7B3A1-37E6-194A-8B4E-132551CBCE1F}"/>
  </bookViews>
  <sheets>
    <sheet name="Functional Group Means" sheetId="6" r:id="rId1"/>
    <sheet name="N Content" sheetId="7" r:id="rId2"/>
    <sheet name="ANOVA USE" sheetId="2" r:id="rId3"/>
    <sheet name="REGRESSION US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6" l="1"/>
  <c r="Q13" i="6"/>
  <c r="Q12" i="6"/>
  <c r="Q11" i="6"/>
  <c r="P14" i="6"/>
  <c r="P13" i="6"/>
  <c r="P12" i="6"/>
  <c r="P11" i="6"/>
  <c r="C63" i="3"/>
  <c r="C61" i="3"/>
  <c r="C59" i="3"/>
  <c r="C57" i="3"/>
  <c r="C55" i="3"/>
  <c r="C53" i="3"/>
  <c r="C51" i="3"/>
  <c r="C49" i="3"/>
  <c r="C47" i="3"/>
  <c r="C45" i="3"/>
  <c r="C43" i="3"/>
  <c r="C41" i="3"/>
  <c r="C39" i="3"/>
  <c r="C37" i="3"/>
  <c r="C35" i="3"/>
  <c r="C33" i="3"/>
  <c r="C31" i="3"/>
  <c r="C29" i="3"/>
  <c r="C27" i="3"/>
  <c r="C25" i="3"/>
  <c r="C23" i="3"/>
  <c r="C21" i="3"/>
  <c r="C19" i="3"/>
  <c r="C17" i="3"/>
  <c r="C15" i="3"/>
  <c r="C13" i="3"/>
  <c r="C11" i="3"/>
  <c r="C9" i="3"/>
  <c r="C7" i="3"/>
  <c r="C5" i="3"/>
  <c r="C3" i="3"/>
</calcChain>
</file>

<file path=xl/sharedStrings.xml><?xml version="1.0" encoding="utf-8"?>
<sst xmlns="http://schemas.openxmlformats.org/spreadsheetml/2006/main" count="457" uniqueCount="46">
  <si>
    <t>L</t>
  </si>
  <si>
    <t>R</t>
  </si>
  <si>
    <t>Flag Number</t>
  </si>
  <si>
    <t>Side of Trail (L or R)</t>
  </si>
  <si>
    <t>Forest</t>
  </si>
  <si>
    <t>TREES</t>
  </si>
  <si>
    <t>SHRUBS</t>
  </si>
  <si>
    <t>FORBS</t>
  </si>
  <si>
    <t>BEACHGRASS</t>
  </si>
  <si>
    <t>BARE SAND</t>
  </si>
  <si>
    <t>N-FIXERS</t>
  </si>
  <si>
    <t>TOTAL COVER</t>
  </si>
  <si>
    <t>1/D</t>
  </si>
  <si>
    <t>RICHNESS</t>
  </si>
  <si>
    <t>Deflation Plane</t>
  </si>
  <si>
    <t>Foredune</t>
  </si>
  <si>
    <t>Beach</t>
  </si>
  <si>
    <t>WOODY</t>
  </si>
  <si>
    <t>Open Dunes</t>
  </si>
  <si>
    <t>HERBACEOUS</t>
  </si>
  <si>
    <t>SCOTCH BROOM</t>
  </si>
  <si>
    <t>Nitrogen Content</t>
  </si>
  <si>
    <t>GEOGRAPHICAL ORDER MEANS</t>
  </si>
  <si>
    <t>Confidence Level(95.0%)</t>
  </si>
  <si>
    <t>SUCCCESSIONAL AGE MEANS</t>
  </si>
  <si>
    <t>Vegetation Zone</t>
  </si>
  <si>
    <t>Elevation (m)</t>
  </si>
  <si>
    <t>Distance from shore (m)</t>
  </si>
  <si>
    <t>Nitrogen (%)</t>
  </si>
  <si>
    <t>Flag</t>
  </si>
  <si>
    <t>Deflation Plain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</si>
  <si>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</si>
  <si>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</si>
  <si>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</si>
  <si>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</si>
  <si>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</si>
  <si>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</si>
  <si>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</si>
  <si>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</si>
  <si>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</si>
  <si>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</si>
  <si>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</si>
  <si>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</si>
  <si>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</si>
  <si>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Smallest(1)</t>
  </si>
  <si>
    <t>N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</si>
</sst>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/>
    <xf numFmtId="2" fontId="0" fillId="0" borderId="0" xfId="0" applyNumberFormat="1"/>
    <xf numFmtId="0" fontId="1" fillId="0" borderId="0" xfId="0" applyFont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textRotation="90"/>
    </xf>
    <xf numFmtId="2" fontId="4" fillId="0" borderId="0" xfId="0" applyNumberFormat="1" applyFont="1"/>
    <xf numFmtId="0" fontId="4" fillId="0" borderId="0" xfId="0" applyFont="1"/>
    <xf numFmtId="2" fontId="3" fillId="0" borderId="0" xfId="0" applyNumberFormat="1" applyFont="1"/>
    <xf numFmtId="0" fontId="4" fillId="2" borderId="0" xfId="0" applyFont="1" applyFill="1" applyAlignment="1">
      <alignment textRotation="90"/>
    </xf>
    <xf numFmtId="2" fontId="4" fillId="2" borderId="0" xfId="0" applyNumberFormat="1" applyFont="1" applyFill="1"/>
    <xf numFmtId="0" fontId="4" fillId="2" borderId="0" xfId="0" applyFont="1" applyFill="1"/>
    <xf numFmtId="0" fontId="3" fillId="2" borderId="0" xfId="0" applyFont="1" applyFill="1"/>
    <xf numFmtId="2" fontId="3" fillId="2" borderId="0" xfId="0" applyNumberFormat="1" applyFont="1" applyFill="1"/>
    <xf numFmtId="0" fontId="2" fillId="0" borderId="0" xfId="0" applyFont="1" applyAlignment="1">
      <alignment textRotation="90"/>
    </xf>
    <xf numFmtId="2" fontId="2" fillId="0" borderId="0" xfId="0" applyNumberFormat="1" applyFont="1"/>
    <xf numFmtId="2" fontId="2" fillId="2" borderId="0" xfId="0" applyNumberFormat="1" applyFont="1" applyFill="1"/>
    <xf numFmtId="0" fontId="5" fillId="0" borderId="0" xfId="0" applyFont="1"/>
    <xf numFmtId="1" fontId="3" fillId="0" borderId="0" xfId="0" applyNumberFormat="1" applyFon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2" xfId="0" applyBorder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'Functional Group Means'!$A$3</c:f>
              <c:strCache>
                <c:ptCount val="1"/>
                <c:pt idx="0">
                  <c:v>Beach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('Functional Group Means'!$B$2:$D$2,'Functional Group Means'!$E$2,'Functional Group Means'!$F$2,'Functional Group Means'!$L$2,'Functional Group Means'!$M$2,'Functional Group Means'!$N$2)</c:f>
              <c:strCache>
                <c:ptCount val="8"/>
                <c:pt idx="0">
                  <c:v>TREES</c:v>
                </c:pt>
                <c:pt idx="1">
                  <c:v>SHRUBS</c:v>
                </c:pt>
                <c:pt idx="2">
                  <c:v>FORBS</c:v>
                </c:pt>
                <c:pt idx="3">
                  <c:v>BEACHGRASS</c:v>
                </c:pt>
                <c:pt idx="4">
                  <c:v>N-FIXERS</c:v>
                </c:pt>
                <c:pt idx="5">
                  <c:v>1/D</c:v>
                </c:pt>
                <c:pt idx="6">
                  <c:v>RICHNESS</c:v>
                </c:pt>
                <c:pt idx="7">
                  <c:v>N Content</c:v>
                </c:pt>
              </c:strCache>
            </c:strRef>
          </c:cat>
          <c:val>
            <c:numRef>
              <c:f>('Functional Group Means'!$B$3:$D$3,'Functional Group Means'!$E$3,'Functional Group Means'!$F$3,'Functional Group Means'!$L$3,'Functional Group Means'!$M$3,'Functional Group Means'!$N$3)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General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3-7F45-8841-11D289C24C2F}"/>
            </c:ext>
          </c:extLst>
        </c:ser>
        <c:ser>
          <c:idx val="1"/>
          <c:order val="1"/>
          <c:tx>
            <c:strRef>
              <c:f>'Functional Group Means'!$A$4</c:f>
              <c:strCache>
                <c:ptCount val="1"/>
                <c:pt idx="0">
                  <c:v>Foredune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('Functional Group Means'!$B$2:$D$2,'Functional Group Means'!$E$2,'Functional Group Means'!$F$2,'Functional Group Means'!$L$2,'Functional Group Means'!$M$2,'Functional Group Means'!$N$2)</c:f>
              <c:strCache>
                <c:ptCount val="8"/>
                <c:pt idx="0">
                  <c:v>TREES</c:v>
                </c:pt>
                <c:pt idx="1">
                  <c:v>SHRUBS</c:v>
                </c:pt>
                <c:pt idx="2">
                  <c:v>FORBS</c:v>
                </c:pt>
                <c:pt idx="3">
                  <c:v>BEACHGRASS</c:v>
                </c:pt>
                <c:pt idx="4">
                  <c:v>N-FIXERS</c:v>
                </c:pt>
                <c:pt idx="5">
                  <c:v>1/D</c:v>
                </c:pt>
                <c:pt idx="6">
                  <c:v>RICHNESS</c:v>
                </c:pt>
                <c:pt idx="7">
                  <c:v>N Content</c:v>
                </c:pt>
              </c:strCache>
            </c:strRef>
          </c:cat>
          <c:val>
            <c:numRef>
              <c:f>('Functional Group Means'!$B$4:$D$4,'Functional Group Means'!$E$4,'Functional Group Means'!$F$4,'Functional Group Means'!$L$4,'Functional Group Means'!$M$4,'Functional Group Means'!$N$4)</c:f>
              <c:numCache>
                <c:formatCode>0.00</c:formatCode>
                <c:ptCount val="8"/>
                <c:pt idx="0">
                  <c:v>0.875</c:v>
                </c:pt>
                <c:pt idx="1">
                  <c:v>4.625</c:v>
                </c:pt>
                <c:pt idx="2">
                  <c:v>2.875</c:v>
                </c:pt>
                <c:pt idx="3">
                  <c:v>5.875</c:v>
                </c:pt>
                <c:pt idx="4">
                  <c:v>9.5</c:v>
                </c:pt>
                <c:pt idx="5">
                  <c:v>2.61375</c:v>
                </c:pt>
                <c:pt idx="6">
                  <c:v>3.625</c:v>
                </c:pt>
                <c:pt idx="7" formatCode="General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3-7F45-8841-11D289C24C2F}"/>
            </c:ext>
          </c:extLst>
        </c:ser>
        <c:ser>
          <c:idx val="2"/>
          <c:order val="2"/>
          <c:tx>
            <c:strRef>
              <c:f>'Functional Group Means'!$A$5</c:f>
              <c:strCache>
                <c:ptCount val="1"/>
                <c:pt idx="0">
                  <c:v>Deflation Plane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('Functional Group Means'!$B$2:$D$2,'Functional Group Means'!$E$2,'Functional Group Means'!$F$2,'Functional Group Means'!$L$2,'Functional Group Means'!$M$2,'Functional Group Means'!$N$2)</c:f>
              <c:strCache>
                <c:ptCount val="8"/>
                <c:pt idx="0">
                  <c:v>TREES</c:v>
                </c:pt>
                <c:pt idx="1">
                  <c:v>SHRUBS</c:v>
                </c:pt>
                <c:pt idx="2">
                  <c:v>FORBS</c:v>
                </c:pt>
                <c:pt idx="3">
                  <c:v>BEACHGRASS</c:v>
                </c:pt>
                <c:pt idx="4">
                  <c:v>N-FIXERS</c:v>
                </c:pt>
                <c:pt idx="5">
                  <c:v>1/D</c:v>
                </c:pt>
                <c:pt idx="6">
                  <c:v>RICHNESS</c:v>
                </c:pt>
                <c:pt idx="7">
                  <c:v>N Content</c:v>
                </c:pt>
              </c:strCache>
            </c:strRef>
          </c:cat>
          <c:val>
            <c:numRef>
              <c:f>('Functional Group Means'!$B$5:$D$5,'Functional Group Means'!$E$5,'Functional Group Means'!$F$5,'Functional Group Means'!$L$5,'Functional Group Means'!$M$5,'Functional Group Means'!$N$5)</c:f>
              <c:numCache>
                <c:formatCode>0.00</c:formatCode>
                <c:ptCount val="8"/>
                <c:pt idx="0">
                  <c:v>8.25</c:v>
                </c:pt>
                <c:pt idx="1">
                  <c:v>13.666666666666666</c:v>
                </c:pt>
                <c:pt idx="2">
                  <c:v>0.70833333333333337</c:v>
                </c:pt>
                <c:pt idx="3">
                  <c:v>1.5416666666666667</c:v>
                </c:pt>
                <c:pt idx="4">
                  <c:v>3.5</c:v>
                </c:pt>
                <c:pt idx="5">
                  <c:v>3.3379166666666666</c:v>
                </c:pt>
                <c:pt idx="6">
                  <c:v>4.333333333333333</c:v>
                </c:pt>
                <c:pt idx="7" formatCode="General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C3-7F45-8841-11D289C24C2F}"/>
            </c:ext>
          </c:extLst>
        </c:ser>
        <c:ser>
          <c:idx val="3"/>
          <c:order val="3"/>
          <c:tx>
            <c:strRef>
              <c:f>'Functional Group Means'!$A$6</c:f>
              <c:strCache>
                <c:ptCount val="1"/>
                <c:pt idx="0">
                  <c:v>Open Dunes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('Functional Group Means'!$B$2:$D$2,'Functional Group Means'!$E$2,'Functional Group Means'!$F$2,'Functional Group Means'!$L$2,'Functional Group Means'!$M$2,'Functional Group Means'!$N$2)</c:f>
              <c:strCache>
                <c:ptCount val="8"/>
                <c:pt idx="0">
                  <c:v>TREES</c:v>
                </c:pt>
                <c:pt idx="1">
                  <c:v>SHRUBS</c:v>
                </c:pt>
                <c:pt idx="2">
                  <c:v>FORBS</c:v>
                </c:pt>
                <c:pt idx="3">
                  <c:v>BEACHGRASS</c:v>
                </c:pt>
                <c:pt idx="4">
                  <c:v>N-FIXERS</c:v>
                </c:pt>
                <c:pt idx="5">
                  <c:v>1/D</c:v>
                </c:pt>
                <c:pt idx="6">
                  <c:v>RICHNESS</c:v>
                </c:pt>
                <c:pt idx="7">
                  <c:v>N Content</c:v>
                </c:pt>
              </c:strCache>
            </c:strRef>
          </c:cat>
          <c:val>
            <c:numRef>
              <c:f>('Functional Group Means'!$B$6:$D$6,'Functional Group Means'!$E$6,'Functional Group Means'!$F$6,'Functional Group Means'!$L$6,'Functional Group Means'!$M$6,'Functional Group Means'!$N$6)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1.75</c:v>
                </c:pt>
                <c:pt idx="4">
                  <c:v>2</c:v>
                </c:pt>
                <c:pt idx="5">
                  <c:v>0.54999999999999993</c:v>
                </c:pt>
                <c:pt idx="6">
                  <c:v>0.58333333333333337</c:v>
                </c:pt>
                <c:pt idx="7" formatCode="General">
                  <c:v>2.7499999999999997E-2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C3-7F45-8841-11D289C24C2F}"/>
            </c:ext>
          </c:extLst>
        </c:ser>
        <c:ser>
          <c:idx val="4"/>
          <c:order val="4"/>
          <c:tx>
            <c:strRef>
              <c:f>'Functional Group Means'!$A$7</c:f>
              <c:strCache>
                <c:ptCount val="1"/>
                <c:pt idx="0">
                  <c:v>Forest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('Functional Group Means'!$B$2:$D$2,'Functional Group Means'!$E$2,'Functional Group Means'!$F$2,'Functional Group Means'!$L$2,'Functional Group Means'!$M$2,'Functional Group Means'!$N$2)</c:f>
              <c:strCache>
                <c:ptCount val="8"/>
                <c:pt idx="0">
                  <c:v>TREES</c:v>
                </c:pt>
                <c:pt idx="1">
                  <c:v>SHRUBS</c:v>
                </c:pt>
                <c:pt idx="2">
                  <c:v>FORBS</c:v>
                </c:pt>
                <c:pt idx="3">
                  <c:v>BEACHGRASS</c:v>
                </c:pt>
                <c:pt idx="4">
                  <c:v>N-FIXERS</c:v>
                </c:pt>
                <c:pt idx="5">
                  <c:v>1/D</c:v>
                </c:pt>
                <c:pt idx="6">
                  <c:v>RICHNESS</c:v>
                </c:pt>
                <c:pt idx="7">
                  <c:v>N Content</c:v>
                </c:pt>
              </c:strCache>
            </c:strRef>
          </c:cat>
          <c:val>
            <c:numRef>
              <c:f>('Functional Group Means'!$B$7:$D$7,'Functional Group Means'!$E$7,'Functional Group Means'!$F$7,'Functional Group Means'!$L$7,'Functional Group Means'!$M$7,'Functional Group Means'!$N$7)</c:f>
              <c:numCache>
                <c:formatCode>0.00</c:formatCode>
                <c:ptCount val="8"/>
                <c:pt idx="0">
                  <c:v>8.875</c:v>
                </c:pt>
                <c:pt idx="1">
                  <c:v>16.6875</c:v>
                </c:pt>
                <c:pt idx="2">
                  <c:v>0.3125</c:v>
                </c:pt>
                <c:pt idx="3">
                  <c:v>0.375</c:v>
                </c:pt>
                <c:pt idx="4">
                  <c:v>0.5</c:v>
                </c:pt>
                <c:pt idx="5">
                  <c:v>3.3287500000000003</c:v>
                </c:pt>
                <c:pt idx="6">
                  <c:v>4.0625</c:v>
                </c:pt>
                <c:pt idx="7" formatCode="General">
                  <c:v>0.72250000000000003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C3-7F45-8841-11D289C24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196256"/>
        <c:axId val="1905295328"/>
      </c:lineChart>
      <c:catAx>
        <c:axId val="190319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95328"/>
        <c:crosses val="autoZero"/>
        <c:auto val="1"/>
        <c:lblAlgn val="ctr"/>
        <c:lblOffset val="100"/>
        <c:noMultiLvlLbl val="0"/>
      </c:catAx>
      <c:valAx>
        <c:axId val="19052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1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319335083114608E-2"/>
          <c:y val="0.19483814523184603"/>
          <c:w val="0.87123622047244098"/>
          <c:h val="0.72094889180519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'Functional Group Means'!$G$2</c:f>
              <c:strCache>
                <c:ptCount val="1"/>
                <c:pt idx="0">
                  <c:v>WOODY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6.018518518518518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F3C-FB46-9352-DEA3617EF11B}"/>
                </c:ext>
              </c:extLst>
            </c:dLbl>
            <c:dLbl>
              <c:idx val="1"/>
              <c:layout>
                <c:manualLayout>
                  <c:x val="0"/>
                  <c:y val="-6.944444444444453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F3C-FB46-9352-DEA3617EF11B}"/>
                </c:ext>
              </c:extLst>
            </c:dLbl>
            <c:dLbl>
              <c:idx val="2"/>
              <c:layout>
                <c:manualLayout>
                  <c:x val="0"/>
                  <c:y val="-6.94444444444444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F3C-FB46-9352-DEA3617EF11B}"/>
                </c:ext>
              </c:extLst>
            </c:dLbl>
            <c:dLbl>
              <c:idx val="3"/>
              <c:layout>
                <c:manualLayout>
                  <c:x val="-1.0185067526415994E-16"/>
                  <c:y val="-6.48148148148147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F3C-FB46-9352-DEA3617EF11B}"/>
                </c:ext>
              </c:extLst>
            </c:dLbl>
            <c:dLbl>
              <c:idx val="4"/>
              <c:layout>
                <c:manualLayout>
                  <c:x val="-1.0185067526415994E-16"/>
                  <c:y val="-6.48148148148148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F3C-FB46-9352-DEA3617EF1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Means'!$G$3:$G$7</c:f>
              <c:numCache>
                <c:formatCode>0.00</c:formatCode>
                <c:ptCount val="5"/>
                <c:pt idx="0">
                  <c:v>0</c:v>
                </c:pt>
                <c:pt idx="1">
                  <c:v>5.5</c:v>
                </c:pt>
                <c:pt idx="2">
                  <c:v>21.916666666666668</c:v>
                </c:pt>
                <c:pt idx="3">
                  <c:v>0</c:v>
                </c:pt>
                <c:pt idx="4">
                  <c:v>25.5625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C-FB46-9352-DEA3617EF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8263680"/>
        <c:axId val="1978112528"/>
      </c:barChart>
      <c:catAx>
        <c:axId val="197826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2528"/>
        <c:crosses val="autoZero"/>
        <c:auto val="1"/>
        <c:lblAlgn val="ctr"/>
        <c:lblOffset val="100"/>
        <c:noMultiLvlLbl val="0"/>
      </c:catAx>
      <c:valAx>
        <c:axId val="197811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26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Means'!$N$2</c:f>
              <c:strCache>
                <c:ptCount val="1"/>
                <c:pt idx="0">
                  <c:v>N Content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7.407407407407415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06B-5740-92C6-98F880A9DDAE}"/>
                </c:ext>
              </c:extLst>
            </c:dLbl>
            <c:dLbl>
              <c:idx val="1"/>
              <c:layout>
                <c:manualLayout>
                  <c:x val="0"/>
                  <c:y val="-7.870370370370370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06B-5740-92C6-98F880A9DDAE}"/>
                </c:ext>
              </c:extLst>
            </c:dLbl>
            <c:dLbl>
              <c:idx val="2"/>
              <c:layout>
                <c:manualLayout>
                  <c:x val="0"/>
                  <c:y val="-6.94444444444444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06B-5740-92C6-98F880A9DDAE}"/>
                </c:ext>
              </c:extLst>
            </c:dLbl>
            <c:dLbl>
              <c:idx val="3"/>
              <c:layout>
                <c:manualLayout>
                  <c:x val="0"/>
                  <c:y val="-7.40740740740740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06B-5740-92C6-98F880A9DDAE}"/>
                </c:ext>
              </c:extLst>
            </c:dLbl>
            <c:dLbl>
              <c:idx val="4"/>
              <c:layout>
                <c:manualLayout>
                  <c:x val="0"/>
                  <c:y val="-6.944444444444448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06B-5740-92C6-98F880A9DD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Means'!$N$3:$N$7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0.03</c:v>
                </c:pt>
                <c:pt idx="2">
                  <c:v>0.41</c:v>
                </c:pt>
                <c:pt idx="3">
                  <c:v>2.7499999999999997E-2</c:v>
                </c:pt>
                <c:pt idx="4">
                  <c:v>0.72250000000000003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B-5740-92C6-98F880A9D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8698111"/>
        <c:axId val="958857855"/>
      </c:barChart>
      <c:catAx>
        <c:axId val="9586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57855"/>
        <c:crosses val="autoZero"/>
        <c:auto val="1"/>
        <c:lblAlgn val="ctr"/>
        <c:lblOffset val="100"/>
        <c:noMultiLvlLbl val="0"/>
      </c:catAx>
      <c:valAx>
        <c:axId val="9588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69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Means'!$F$2</c:f>
              <c:strCache>
                <c:ptCount val="1"/>
                <c:pt idx="0">
                  <c:v>N-FIXERS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462668816039986E-17"/>
                  <c:y val="-6.48148148148148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5D9-0A4F-9EAA-94E2412C2316}"/>
                </c:ext>
              </c:extLst>
            </c:dLbl>
            <c:dLbl>
              <c:idx val="1"/>
              <c:layout>
                <c:manualLayout>
                  <c:x val="0"/>
                  <c:y val="-7.870370370370370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5D9-0A4F-9EAA-94E2412C2316}"/>
                </c:ext>
              </c:extLst>
            </c:dLbl>
            <c:dLbl>
              <c:idx val="2"/>
              <c:layout>
                <c:manualLayout>
                  <c:x val="0"/>
                  <c:y val="-6.94444444444444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5D9-0A4F-9EAA-94E2412C2316}"/>
                </c:ext>
              </c:extLst>
            </c:dLbl>
            <c:dLbl>
              <c:idx val="3"/>
              <c:layout>
                <c:manualLayout>
                  <c:x val="0"/>
                  <c:y val="-8.333333333333332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 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5D9-0A4F-9EAA-94E2412C2316}"/>
                </c:ext>
              </c:extLst>
            </c:dLbl>
            <c:dLbl>
              <c:idx val="4"/>
              <c:layout>
                <c:manualLayout>
                  <c:x val="1.0185067526415994E-16"/>
                  <c:y val="-6.018518518518518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5D9-0A4F-9EAA-94E2412C23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Means'!$F$3:$F$7</c:f>
              <c:numCache>
                <c:formatCode>0.00</c:formatCode>
                <c:ptCount val="5"/>
                <c:pt idx="0">
                  <c:v>0</c:v>
                </c:pt>
                <c:pt idx="1">
                  <c:v>9.5</c:v>
                </c:pt>
                <c:pt idx="2">
                  <c:v>3.5</c:v>
                </c:pt>
                <c:pt idx="3">
                  <c:v>2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9-0A4F-9EAA-94E2412C23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77881728"/>
        <c:axId val="1905918640"/>
      </c:barChart>
      <c:catAx>
        <c:axId val="19778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18640"/>
        <c:crosses val="autoZero"/>
        <c:auto val="1"/>
        <c:lblAlgn val="ctr"/>
        <c:lblOffset val="100"/>
        <c:noMultiLvlLbl val="0"/>
      </c:catAx>
      <c:valAx>
        <c:axId val="190591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Cover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88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Means'!$M$2</c:f>
              <c:strCache>
                <c:ptCount val="1"/>
                <c:pt idx="0">
                  <c:v>RICHNESS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'Functional Group Means'!$M$10:$M$14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0.88673409434729422</c:v>
                  </c:pt>
                  <c:pt idx="2">
                    <c:v>0.60576283000768938</c:v>
                  </c:pt>
                  <c:pt idx="3">
                    <c:v>0.42478143876675378</c:v>
                  </c:pt>
                  <c:pt idx="4">
                    <c:v>0.45501788653079095</c:v>
                  </c:pt>
                </c:numCache>
              </c:numRef>
            </c:plus>
            <c:minus>
              <c:numRef>
                <c:f>'Functional Group Means'!$M$10:$M$14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0.88673409434729422</c:v>
                  </c:pt>
                  <c:pt idx="2">
                    <c:v>0.60576283000768938</c:v>
                  </c:pt>
                  <c:pt idx="3">
                    <c:v>0.42478143876675378</c:v>
                  </c:pt>
                  <c:pt idx="4">
                    <c:v>0.45501788653079095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Means'!$M$3:$M$7</c:f>
              <c:numCache>
                <c:formatCode>0.00</c:formatCode>
                <c:ptCount val="5"/>
                <c:pt idx="0">
                  <c:v>0</c:v>
                </c:pt>
                <c:pt idx="1">
                  <c:v>3.625</c:v>
                </c:pt>
                <c:pt idx="2">
                  <c:v>4.333333333333333</c:v>
                </c:pt>
                <c:pt idx="3">
                  <c:v>0.58333333333333337</c:v>
                </c:pt>
                <c:pt idx="4">
                  <c:v>4.0625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C-7440-BEC5-545A3EA76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3401760"/>
        <c:axId val="1923216448"/>
      </c:barChart>
      <c:catAx>
        <c:axId val="1413401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Geographic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216448"/>
        <c:crosses val="autoZero"/>
        <c:auto val="1"/>
        <c:lblAlgn val="ctr"/>
        <c:lblOffset val="100"/>
        <c:noMultiLvlLbl val="0"/>
      </c:catAx>
      <c:valAx>
        <c:axId val="19232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Species Richness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0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'Functional Group Means'!$G$2</c:f>
              <c:strCache>
                <c:ptCount val="1"/>
                <c:pt idx="0">
                  <c:v>WOODY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'Functional Group Means'!$G$10:$G$14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4.2393998337444385</c:v>
                  </c:pt>
                  <c:pt idx="2">
                    <c:v>3.2396767402621394</c:v>
                  </c:pt>
                  <c:pt idx="3">
                    <c:v>0</c:v>
                  </c:pt>
                  <c:pt idx="4">
                    <c:v>2.9313485880424093</c:v>
                  </c:pt>
                </c:numCache>
              </c:numRef>
            </c:plus>
            <c:minus>
              <c:numRef>
                <c:f>'Functional Group Means'!$G$10:$G$14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4.2393998337444385</c:v>
                  </c:pt>
                  <c:pt idx="2">
                    <c:v>3.2396767402621394</c:v>
                  </c:pt>
                  <c:pt idx="3">
                    <c:v>0</c:v>
                  </c:pt>
                  <c:pt idx="4">
                    <c:v>2.9313485880424093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Means'!$G$3:$G$7</c:f>
              <c:numCache>
                <c:formatCode>0.00</c:formatCode>
                <c:ptCount val="5"/>
                <c:pt idx="0">
                  <c:v>0</c:v>
                </c:pt>
                <c:pt idx="1">
                  <c:v>5.5</c:v>
                </c:pt>
                <c:pt idx="2">
                  <c:v>21.916666666666668</c:v>
                </c:pt>
                <c:pt idx="3">
                  <c:v>0</c:v>
                </c:pt>
                <c:pt idx="4">
                  <c:v>25.5625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45-A046-9355-D3B6E88EDE56}"/>
            </c:ext>
          </c:extLst>
        </c:ser>
        <c:ser>
          <c:idx val="3"/>
          <c:order val="1"/>
          <c:tx>
            <c:strRef>
              <c:f>'Functional Group Means'!$H$2</c:f>
              <c:strCache>
                <c:ptCount val="1"/>
                <c:pt idx="0">
                  <c:v>HERBACEOUS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'Functional Group Means'!$H$10:$H$14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2.8526397545409279</c:v>
                  </c:pt>
                  <c:pt idx="2">
                    <c:v>1.2835078925794867</c:v>
                  </c:pt>
                  <c:pt idx="3">
                    <c:v>1.7970968578874866</c:v>
                  </c:pt>
                  <c:pt idx="4">
                    <c:v>0.94761152164127849</c:v>
                  </c:pt>
                </c:numCache>
              </c:numRef>
            </c:plus>
            <c:minus>
              <c:numRef>
                <c:f>'Functional Group Means'!$H$10:$H$14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2.8526397545409279</c:v>
                  </c:pt>
                  <c:pt idx="2">
                    <c:v>1.2835078925794867</c:v>
                  </c:pt>
                  <c:pt idx="3">
                    <c:v>1.7970968578874866</c:v>
                  </c:pt>
                  <c:pt idx="4">
                    <c:v>0.94761152164127849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Means'!$H$3:$H$7</c:f>
              <c:numCache>
                <c:formatCode>0.00</c:formatCode>
                <c:ptCount val="5"/>
                <c:pt idx="0">
                  <c:v>0</c:v>
                </c:pt>
                <c:pt idx="1">
                  <c:v>8.75</c:v>
                </c:pt>
                <c:pt idx="2">
                  <c:v>2.25</c:v>
                </c:pt>
                <c:pt idx="3">
                  <c:v>2</c:v>
                </c:pt>
                <c:pt idx="4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45-A046-9355-D3B6E88ED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502527"/>
        <c:axId val="1921498655"/>
      </c:barChart>
      <c:catAx>
        <c:axId val="92750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Geographic</a:t>
                </a:r>
                <a:r>
                  <a:rPr lang="en-US" baseline="0"/>
                  <a:t>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498655"/>
        <c:crosses val="autoZero"/>
        <c:auto val="1"/>
        <c:lblAlgn val="ctr"/>
        <c:lblOffset val="100"/>
        <c:noMultiLvlLbl val="0"/>
      </c:catAx>
      <c:valAx>
        <c:axId val="192149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Cover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50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Means'!$G$18</c:f>
              <c:strCache>
                <c:ptCount val="1"/>
                <c:pt idx="0">
                  <c:v>WOODY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EFE-EC47-A4E6-ACA57E6F6A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EFE-EC47-A4E6-ACA57E6F6A24}"/>
                </c:ext>
              </c:extLst>
            </c:dLbl>
            <c:dLbl>
              <c:idx val="2"/>
              <c:layout>
                <c:manualLayout>
                  <c:x val="-1.0219133540038858E-16"/>
                  <c:y val="-7.413466386569951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5EFE-EC47-A4E6-ACA57E6F6A24}"/>
                </c:ext>
              </c:extLst>
            </c:dLbl>
            <c:dLbl>
              <c:idx val="3"/>
              <c:layout>
                <c:manualLayout>
                  <c:x val="0"/>
                  <c:y val="-5.560099789927463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5EFE-EC47-A4E6-ACA57E6F6A24}"/>
                </c:ext>
              </c:extLst>
            </c:dLbl>
            <c:dLbl>
              <c:idx val="4"/>
              <c:layout>
                <c:manualLayout>
                  <c:x val="-1.0219133540038858E-16"/>
                  <c:y val="-5.096758140766841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5EFE-EC47-A4E6-ACA57E6F6A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'Functional Group Means'!$G$26:$G$30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4.2393998337444385</c:v>
                  </c:pt>
                  <c:pt idx="3">
                    <c:v>3.2396767402621394</c:v>
                  </c:pt>
                  <c:pt idx="4">
                    <c:v>2.9313485880424093</c:v>
                  </c:pt>
                </c:numCache>
              </c:numRef>
            </c:plus>
            <c:minus>
              <c:numRef>
                <c:f>'Functional Group Means'!$G$26:$G$30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</c:v>
                  </c:pt>
                  <c:pt idx="2">
                    <c:v>4.2393998337444385</c:v>
                  </c:pt>
                  <c:pt idx="3">
                    <c:v>3.2396767402621394</c:v>
                  </c:pt>
                  <c:pt idx="4">
                    <c:v>2.9313485880424093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Means'!$A$19:$A$23</c:f>
              <c:strCache>
                <c:ptCount val="5"/>
                <c:pt idx="0">
                  <c:v>Beach</c:v>
                </c:pt>
                <c:pt idx="1">
                  <c:v>Open Dunes</c:v>
                </c:pt>
                <c:pt idx="2">
                  <c:v>Foredune</c:v>
                </c:pt>
                <c:pt idx="3">
                  <c:v>Deflation Plane</c:v>
                </c:pt>
                <c:pt idx="4">
                  <c:v>Forest</c:v>
                </c:pt>
              </c:strCache>
            </c:strRef>
          </c:cat>
          <c:val>
            <c:numRef>
              <c:f>'Functional Group Means'!$G$19:$G$23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5.5</c:v>
                </c:pt>
                <c:pt idx="3">
                  <c:v>21.916666666666668</c:v>
                </c:pt>
                <c:pt idx="4">
                  <c:v>25.5625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E-EC47-A4E6-ACA57E6F6A24}"/>
            </c:ext>
          </c:extLst>
        </c:ser>
        <c:ser>
          <c:idx val="1"/>
          <c:order val="1"/>
          <c:tx>
            <c:strRef>
              <c:f>'Functional Group Means'!$H$18</c:f>
              <c:strCache>
                <c:ptCount val="1"/>
                <c:pt idx="0">
                  <c:v>HERBACEOUS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5EFE-EC47-A4E6-ACA57E6F6A24}"/>
                </c:ext>
              </c:extLst>
            </c:dLbl>
            <c:dLbl>
              <c:idx val="1"/>
              <c:layout>
                <c:manualLayout>
                  <c:x val="0"/>
                  <c:y val="-3.243391544124353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5EFE-EC47-A4E6-ACA57E6F6A24}"/>
                </c:ext>
              </c:extLst>
            </c:dLbl>
            <c:dLbl>
              <c:idx val="2"/>
              <c:layout>
                <c:manualLayout>
                  <c:x val="-1.0219133540038858E-16"/>
                  <c:y val="-4.63341649160621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5EFE-EC47-A4E6-ACA57E6F6A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EFE-EC47-A4E6-ACA57E6F6A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5EFE-EC47-A4E6-ACA57E6F6A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'Functional Group Means'!$H$26:$H$30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1.7970968578874866</c:v>
                  </c:pt>
                  <c:pt idx="2">
                    <c:v>2.8526397545409279</c:v>
                  </c:pt>
                  <c:pt idx="3">
                    <c:v>1.2835078925794867</c:v>
                  </c:pt>
                  <c:pt idx="4">
                    <c:v>0.94761152164127849</c:v>
                  </c:pt>
                </c:numCache>
              </c:numRef>
            </c:plus>
            <c:minus>
              <c:numRef>
                <c:f>'Functional Group Means'!$H$26:$H$30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1.7970968578874866</c:v>
                  </c:pt>
                  <c:pt idx="2">
                    <c:v>2.8526397545409279</c:v>
                  </c:pt>
                  <c:pt idx="3">
                    <c:v>1.2835078925794867</c:v>
                  </c:pt>
                  <c:pt idx="4">
                    <c:v>0.94761152164127849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Means'!$A$19:$A$23</c:f>
              <c:strCache>
                <c:ptCount val="5"/>
                <c:pt idx="0">
                  <c:v>Beach</c:v>
                </c:pt>
                <c:pt idx="1">
                  <c:v>Open Dunes</c:v>
                </c:pt>
                <c:pt idx="2">
                  <c:v>Foredune</c:v>
                </c:pt>
                <c:pt idx="3">
                  <c:v>Deflation Plane</c:v>
                </c:pt>
                <c:pt idx="4">
                  <c:v>Forest</c:v>
                </c:pt>
              </c:strCache>
            </c:strRef>
          </c:cat>
          <c:val>
            <c:numRef>
              <c:f>'Functional Group Means'!$H$19:$H$23</c:f>
              <c:numCache>
                <c:formatCode>0.00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8.75</c:v>
                </c:pt>
                <c:pt idx="3">
                  <c:v>2.25</c:v>
                </c:pt>
                <c:pt idx="4">
                  <c:v>0.6875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E-EC47-A4E6-ACA57E6F6A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3662064"/>
        <c:axId val="803911504"/>
      </c:barChart>
      <c:catAx>
        <c:axId val="323662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Successional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911504"/>
        <c:crosses val="autoZero"/>
        <c:auto val="1"/>
        <c:lblAlgn val="ctr"/>
        <c:lblOffset val="100"/>
        <c:noMultiLvlLbl val="0"/>
      </c:catAx>
      <c:valAx>
        <c:axId val="8039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Cover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6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Means'!$M$18</c:f>
              <c:strCache>
                <c:ptCount val="1"/>
                <c:pt idx="0">
                  <c:v>RICHNESS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8.3904595409912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3776-144B-B2F2-169D07C106D6}"/>
                </c:ext>
              </c:extLst>
            </c:dLbl>
            <c:dLbl>
              <c:idx val="1"/>
              <c:layout>
                <c:manualLayout>
                  <c:x val="0"/>
                  <c:y val="-7.924322899825034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a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3776-144B-B2F2-169D07C106D6}"/>
                </c:ext>
              </c:extLst>
            </c:dLbl>
            <c:dLbl>
              <c:idx val="2"/>
              <c:layout>
                <c:manualLayout>
                  <c:x val="0"/>
                  <c:y val="-8.815341254230557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776-144B-B2F2-169D07C106D6}"/>
                </c:ext>
              </c:extLst>
            </c:dLbl>
            <c:dLbl>
              <c:idx val="3"/>
              <c:layout>
                <c:manualLayout>
                  <c:x val="0"/>
                  <c:y val="-8.85659618215739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776-144B-B2F2-169D07C106D6}"/>
                </c:ext>
              </c:extLst>
            </c:dLbl>
            <c:dLbl>
              <c:idx val="4"/>
              <c:layout>
                <c:manualLayout>
                  <c:x val="-1.0160359984354303E-16"/>
                  <c:y val="-8.390459540991211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776-144B-B2F2-169D07C10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'Functional Group Means'!$A$19:$A$23</c:f>
              <c:strCache>
                <c:ptCount val="5"/>
                <c:pt idx="0">
                  <c:v>Beach</c:v>
                </c:pt>
                <c:pt idx="1">
                  <c:v>Open Dunes</c:v>
                </c:pt>
                <c:pt idx="2">
                  <c:v>Foredune</c:v>
                </c:pt>
                <c:pt idx="3">
                  <c:v>Deflation Plane</c:v>
                </c:pt>
                <c:pt idx="4">
                  <c:v>Forest</c:v>
                </c:pt>
              </c:strCache>
            </c:strRef>
          </c:cat>
          <c:val>
            <c:numRef>
              <c:f>'Functional Group Means'!$M$19:$M$23</c:f>
              <c:numCache>
                <c:formatCode>0.00</c:formatCode>
                <c:ptCount val="5"/>
                <c:pt idx="0">
                  <c:v>0</c:v>
                </c:pt>
                <c:pt idx="1">
                  <c:v>0.58333333333333337</c:v>
                </c:pt>
                <c:pt idx="2">
                  <c:v>3.625</c:v>
                </c:pt>
                <c:pt idx="3">
                  <c:v>4.333333333333333</c:v>
                </c:pt>
                <c:pt idx="4">
                  <c:v>4.0625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6-144B-B2F2-169D07C106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5031279"/>
        <c:axId val="954430639"/>
      </c:barChart>
      <c:catAx>
        <c:axId val="192503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Successional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30639"/>
        <c:crosses val="autoZero"/>
        <c:auto val="1"/>
        <c:lblAlgn val="ctr"/>
        <c:lblOffset val="100"/>
        <c:noMultiLvlLbl val="0"/>
      </c:catAx>
      <c:valAx>
        <c:axId val="95443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Species Richness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03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Means'!$E$2</c:f>
              <c:strCache>
                <c:ptCount val="1"/>
                <c:pt idx="0">
                  <c:v>BEACHGRASS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'Functional Group Means'!$A$3:$A$7</c:f>
              <c:strCache>
                <c:ptCount val="5"/>
                <c:pt idx="0">
                  <c:v>Beach</c:v>
                </c:pt>
                <c:pt idx="1">
                  <c:v>Foredune</c:v>
                </c:pt>
                <c:pt idx="2">
                  <c:v>Deflation Plane</c:v>
                </c:pt>
                <c:pt idx="3">
                  <c:v>Open Dunes</c:v>
                </c:pt>
                <c:pt idx="4">
                  <c:v>Forest</c:v>
                </c:pt>
              </c:strCache>
            </c:strRef>
          </c:cat>
          <c:val>
            <c:numRef>
              <c:f>'Functional Group Means'!$E$3:$E$7</c:f>
              <c:numCache>
                <c:formatCode>0.00</c:formatCode>
                <c:ptCount val="5"/>
                <c:pt idx="0">
                  <c:v>0</c:v>
                </c:pt>
                <c:pt idx="1">
                  <c:v>5.875</c:v>
                </c:pt>
                <c:pt idx="2">
                  <c:v>1.5416666666666667</c:v>
                </c:pt>
                <c:pt idx="3">
                  <c:v>1.75</c:v>
                </c:pt>
                <c:pt idx="4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1-704F-AB31-75794EDE6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336303"/>
        <c:axId val="120993056"/>
      </c:barChart>
      <c:catAx>
        <c:axId val="53633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93056"/>
        <c:crosses val="autoZero"/>
        <c:auto val="1"/>
        <c:lblAlgn val="ctr"/>
        <c:lblOffset val="100"/>
        <c:noMultiLvlLbl val="0"/>
      </c:catAx>
      <c:valAx>
        <c:axId val="1209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3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'Functional Group Means'!$F$18</c:f>
              <c:strCache>
                <c:ptCount val="1"/>
                <c:pt idx="0">
                  <c:v>N-FIXERS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'Functional Group Means'!$A$19:$A$23</c:f>
              <c:strCache>
                <c:ptCount val="5"/>
                <c:pt idx="0">
                  <c:v>Beach</c:v>
                </c:pt>
                <c:pt idx="1">
                  <c:v>Open Dunes</c:v>
                </c:pt>
                <c:pt idx="2">
                  <c:v>Foredune</c:v>
                </c:pt>
                <c:pt idx="3">
                  <c:v>Deflation Plane</c:v>
                </c:pt>
                <c:pt idx="4">
                  <c:v>Forest</c:v>
                </c:pt>
              </c:strCache>
            </c:strRef>
          </c:cat>
          <c:val>
            <c:numRef>
              <c:f>'Functional Group Means'!$F$19:$F$23</c:f>
              <c:numCache>
                <c:formatCode>0.00</c:formatCode>
                <c:ptCount val="5"/>
                <c:pt idx="0">
                  <c:v>0</c:v>
                </c:pt>
                <c:pt idx="1">
                  <c:v>2</c:v>
                </c:pt>
                <c:pt idx="2">
                  <c:v>9.5</c:v>
                </c:pt>
                <c:pt idx="3">
                  <c:v>3.5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D-4E44-9AD9-6F24B7B2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330799"/>
        <c:axId val="273571120"/>
      </c:barChart>
      <c:catAx>
        <c:axId val="51633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71120"/>
        <c:crosses val="autoZero"/>
        <c:auto val="1"/>
        <c:lblAlgn val="ctr"/>
        <c:lblOffset val="100"/>
        <c:noMultiLvlLbl val="0"/>
      </c:catAx>
      <c:valAx>
        <c:axId val="27357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3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296970</xdr:colOff>
      <xdr:row>20</xdr:row>
      <xdr:rowOff>32084</xdr:rowOff>
    </xdr:from>
    <xdr:to>
      <xdr:col>19</xdr:col>
      <xdr:colOff>762954</xdr:colOff>
      <xdr:row>33</xdr:row>
      <xdr:rowOff>168442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64836-45CE-B103-54DB-874F0B635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698023</xdr:colOff>
      <xdr:row>45</xdr:row>
      <xdr:rowOff>70280</xdr:rowOff>
    </xdr:from>
    <xdr:to>
      <xdr:col>5</xdr:col>
      <xdr:colOff>743858</xdr:colOff>
      <xdr:row>59</xdr:row>
      <xdr:rowOff>6111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193A3F-7EB7-737D-C3FB-62D0EA5F1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460524</xdr:colOff>
      <xdr:row>53</xdr:row>
      <xdr:rowOff>73337</xdr:rowOff>
    </xdr:from>
    <xdr:to>
      <xdr:col>12</xdr:col>
      <xdr:colOff>105306</xdr:colOff>
      <xdr:row>67</xdr:row>
      <xdr:rowOff>6494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49058E-B050-7E26-A7CF-DCC6CD081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554789</xdr:colOff>
      <xdr:row>37</xdr:row>
      <xdr:rowOff>85938</xdr:rowOff>
    </xdr:from>
    <xdr:to>
      <xdr:col>12</xdr:col>
      <xdr:colOff>199571</xdr:colOff>
      <xdr:row>51</xdr:row>
      <xdr:rowOff>21770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F137D0-0C54-129F-CA8E-5B64EBFE7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303712</xdr:colOff>
      <xdr:row>7</xdr:row>
      <xdr:rowOff>71964</xdr:rowOff>
    </xdr:from>
    <xdr:to>
      <xdr:col>19</xdr:col>
      <xdr:colOff>770258</xdr:colOff>
      <xdr:row>21</xdr:row>
      <xdr:rowOff>7796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67DB7-7DF5-9053-3C2D-7BF5517C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788939</xdr:colOff>
      <xdr:row>31</xdr:row>
      <xdr:rowOff>121034</xdr:rowOff>
    </xdr:from>
    <xdr:to>
      <xdr:col>8</xdr:col>
      <xdr:colOff>394085</xdr:colOff>
      <xdr:row>45</xdr:row>
      <xdr:rowOff>35598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10503D-87A0-19D0-2DE9-140D343FB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187960</xdr:colOff>
      <xdr:row>41</xdr:row>
      <xdr:rowOff>60512</xdr:rowOff>
    </xdr:from>
    <xdr:to>
      <xdr:col>7</xdr:col>
      <xdr:colOff>629919</xdr:colOff>
      <xdr:row>54</xdr:row>
      <xdr:rowOff>159870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F8B26E8-6DF2-63FF-1559-735617A27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132603</xdr:colOff>
      <xdr:row>40</xdr:row>
      <xdr:rowOff>150533</xdr:rowOff>
    </xdr:from>
    <xdr:to>
      <xdr:col>15</xdr:col>
      <xdr:colOff>595780</xdr:colOff>
      <xdr:row>54</xdr:row>
      <xdr:rowOff>17556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72CF0A3-0FBE-E143-5064-8BF8A6E9A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1178560</xdr:colOff>
      <xdr:row>32</xdr:row>
      <xdr:rowOff>30480</xdr:rowOff>
    </xdr:from>
    <xdr:to>
      <xdr:col>5</xdr:col>
      <xdr:colOff>721360</xdr:colOff>
      <xdr:row>45</xdr:row>
      <xdr:rowOff>132080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C8F75B-7C9C-78FE-0EAE-D282E8A95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296332</xdr:colOff>
      <xdr:row>39</xdr:row>
      <xdr:rowOff>126999</xdr:rowOff>
    </xdr:from>
    <xdr:to>
      <xdr:col>17</xdr:col>
      <xdr:colOff>719666</xdr:colOff>
      <xdr:row>53</xdr:row>
      <xdr:rowOff>25399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988F86-27A9-F95E-7A8E-FFA6C37B8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E11C-CEF2-844C-98D2-61CCC7FC2080}">
  <dimension ref="A1:X30"/>
  <sheetViews>
    <sheetView tabSelected="1" zoomScale="75" workbookViewId="0">
      <selection activeCell="G12" sqref="G12"/>
    </sheetView>
  </sheetViews>
  <sheetFormatPr baseColWidth="10" defaultRowHeight="16" x14ac:dyDescent="0.2"/>
  <cols>
    <col min="1" max="1" width="16.33203125" customWidth="1"/>
    <col min="5" max="5" width="17.1640625" customWidth="1"/>
  </cols>
  <sheetData>
    <row r="1" spans="1:24" x14ac:dyDescent="0.2">
      <c r="A1" s="3" t="s">
        <v>22</v>
      </c>
    </row>
    <row r="2" spans="1:24" x14ac:dyDescent="0.2">
      <c r="A2" s="3"/>
      <c r="B2" s="21" t="s">
        <v>5</v>
      </c>
      <c r="C2" s="21" t="s">
        <v>6</v>
      </c>
      <c r="D2" s="21" t="s">
        <v>7</v>
      </c>
      <c r="E2" s="21" t="s">
        <v>8</v>
      </c>
      <c r="F2" s="21" t="s">
        <v>10</v>
      </c>
      <c r="G2" s="21" t="s">
        <v>17</v>
      </c>
      <c r="H2" s="21" t="s">
        <v>19</v>
      </c>
      <c r="I2" s="21" t="s">
        <v>20</v>
      </c>
      <c r="J2" s="21" t="s">
        <v>9</v>
      </c>
      <c r="K2" s="21" t="s">
        <v>11</v>
      </c>
      <c r="L2" s="21" t="s">
        <v>12</v>
      </c>
      <c r="M2" s="21" t="s">
        <v>13</v>
      </c>
      <c r="N2" s="21" t="s">
        <v>45</v>
      </c>
      <c r="P2" s="24"/>
      <c r="Q2" s="24"/>
      <c r="R2" s="24"/>
      <c r="S2" s="24"/>
      <c r="T2" s="24"/>
      <c r="U2" s="24"/>
      <c r="V2" s="24"/>
      <c r="W2" s="24"/>
      <c r="X2" s="24"/>
    </row>
    <row r="3" spans="1:24" x14ac:dyDescent="0.2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10</v>
      </c>
      <c r="K3" s="2">
        <v>0</v>
      </c>
      <c r="L3" s="2">
        <v>0</v>
      </c>
      <c r="M3" s="2">
        <v>0</v>
      </c>
      <c r="N3">
        <v>5.0000000000000001E-3</v>
      </c>
    </row>
    <row r="4" spans="1:24" x14ac:dyDescent="0.2">
      <c r="A4" t="s">
        <v>15</v>
      </c>
      <c r="B4" s="2">
        <v>0.875</v>
      </c>
      <c r="C4" s="2">
        <v>4.625</v>
      </c>
      <c r="D4" s="2">
        <v>2.875</v>
      </c>
      <c r="E4" s="2">
        <v>5.875</v>
      </c>
      <c r="F4" s="2">
        <v>9.5</v>
      </c>
      <c r="G4" s="2">
        <v>5.5</v>
      </c>
      <c r="H4" s="2">
        <v>8.75</v>
      </c>
      <c r="I4" s="2">
        <v>3.625</v>
      </c>
      <c r="J4" s="2">
        <v>1.25</v>
      </c>
      <c r="K4" s="2">
        <v>14.5</v>
      </c>
      <c r="L4" s="2">
        <v>2.61375</v>
      </c>
      <c r="M4" s="2">
        <v>3.625</v>
      </c>
      <c r="N4">
        <v>0.03</v>
      </c>
    </row>
    <row r="5" spans="1:24" x14ac:dyDescent="0.2">
      <c r="A5" t="s">
        <v>14</v>
      </c>
      <c r="B5" s="2">
        <v>8.25</v>
      </c>
      <c r="C5" s="2">
        <v>13.666666666666666</v>
      </c>
      <c r="D5" s="2">
        <v>0.70833333333333337</v>
      </c>
      <c r="E5" s="2">
        <v>1.5416666666666667</v>
      </c>
      <c r="F5" s="2">
        <v>3.5</v>
      </c>
      <c r="G5" s="2">
        <v>21.916666666666668</v>
      </c>
      <c r="H5" s="2">
        <v>2.25</v>
      </c>
      <c r="I5" s="2">
        <v>1.8333333333333333</v>
      </c>
      <c r="J5" s="2">
        <v>0</v>
      </c>
      <c r="K5" s="2">
        <v>24.166666666666668</v>
      </c>
      <c r="L5" s="2">
        <v>3.3379166666666666</v>
      </c>
      <c r="M5" s="2">
        <v>4.333333333333333</v>
      </c>
      <c r="N5">
        <v>0.41</v>
      </c>
    </row>
    <row r="6" spans="1:24" x14ac:dyDescent="0.2">
      <c r="A6" t="s">
        <v>18</v>
      </c>
      <c r="B6" s="2">
        <v>0</v>
      </c>
      <c r="C6" s="2">
        <v>0</v>
      </c>
      <c r="D6" s="2">
        <v>0.25</v>
      </c>
      <c r="E6" s="2">
        <v>1.75</v>
      </c>
      <c r="F6" s="2">
        <v>2</v>
      </c>
      <c r="G6" s="2">
        <v>0</v>
      </c>
      <c r="H6" s="2">
        <v>2</v>
      </c>
      <c r="I6" s="2">
        <v>0</v>
      </c>
      <c r="J6" s="2">
        <v>8</v>
      </c>
      <c r="K6" s="2">
        <v>2</v>
      </c>
      <c r="L6" s="2">
        <v>0.54999999999999993</v>
      </c>
      <c r="M6" s="2">
        <v>0.58333333333333337</v>
      </c>
      <c r="N6">
        <v>2.7499999999999997E-2</v>
      </c>
    </row>
    <row r="7" spans="1:24" x14ac:dyDescent="0.2">
      <c r="A7" t="s">
        <v>4</v>
      </c>
      <c r="B7" s="2">
        <v>8.875</v>
      </c>
      <c r="C7" s="2">
        <v>16.6875</v>
      </c>
      <c r="D7" s="2">
        <v>0.3125</v>
      </c>
      <c r="E7" s="2">
        <v>0.375</v>
      </c>
      <c r="F7" s="2">
        <v>0.5</v>
      </c>
      <c r="G7" s="2">
        <v>25.5625</v>
      </c>
      <c r="H7" s="2">
        <v>0.6875</v>
      </c>
      <c r="I7" s="2">
        <v>0.125</v>
      </c>
      <c r="J7" s="2">
        <v>0</v>
      </c>
      <c r="K7" s="2">
        <v>26.375</v>
      </c>
      <c r="L7" s="2">
        <v>3.3287500000000003</v>
      </c>
      <c r="M7" s="2">
        <v>4.0625</v>
      </c>
      <c r="N7">
        <v>0.72250000000000003</v>
      </c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24" x14ac:dyDescent="0.2">
      <c r="A9" s="3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24" x14ac:dyDescent="0.2">
      <c r="A10" t="s">
        <v>16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>
        <v>0</v>
      </c>
      <c r="P10" s="2">
        <v>0</v>
      </c>
      <c r="Q10" s="2">
        <v>0</v>
      </c>
    </row>
    <row r="11" spans="1:24" x14ac:dyDescent="0.2">
      <c r="A11" t="s">
        <v>15</v>
      </c>
      <c r="B11" s="2">
        <v>2.0690462201436866</v>
      </c>
      <c r="C11" s="2">
        <v>3.2205025271841006</v>
      </c>
      <c r="D11" s="2">
        <v>1.298045801039214</v>
      </c>
      <c r="E11" s="2">
        <v>2.0690462201436866</v>
      </c>
      <c r="F11" s="2">
        <v>3.1281038569133681</v>
      </c>
      <c r="G11" s="2">
        <v>4.2393998337444385</v>
      </c>
      <c r="H11" s="2">
        <v>2.8526397545409279</v>
      </c>
      <c r="I11" s="2">
        <v>3.3422170474191657</v>
      </c>
      <c r="J11" s="2">
        <v>0.8653638673594759</v>
      </c>
      <c r="K11" s="2">
        <v>3.5749758364724209</v>
      </c>
      <c r="L11" s="2">
        <v>0.69055729363438378</v>
      </c>
      <c r="M11" s="2">
        <v>0.88673409434729422</v>
      </c>
      <c r="N11">
        <v>2.4833279964075281E-2</v>
      </c>
      <c r="P11" s="2">
        <f>0.886734094347294-M4</f>
        <v>-2.7382659056527059</v>
      </c>
      <c r="Q11" s="2">
        <f>M4+M11</f>
        <v>4.5117340943472941</v>
      </c>
    </row>
    <row r="12" spans="1:24" x14ac:dyDescent="0.2">
      <c r="A12" t="s">
        <v>14</v>
      </c>
      <c r="B12" s="2">
        <v>1.4798861389646061</v>
      </c>
      <c r="C12" s="2">
        <v>2.8846052187051963</v>
      </c>
      <c r="D12" s="2">
        <v>0.61607330217331824</v>
      </c>
      <c r="E12" s="2">
        <v>1.0564221084409415</v>
      </c>
      <c r="F12" s="2">
        <v>2.199436212718088</v>
      </c>
      <c r="G12" s="2">
        <v>3.2396767402621394</v>
      </c>
      <c r="H12" s="2">
        <v>1.2835078925794867</v>
      </c>
      <c r="I12" s="2">
        <v>1.4662908084787252</v>
      </c>
      <c r="J12" s="2">
        <v>0</v>
      </c>
      <c r="K12" s="2">
        <v>3.3543058637077547</v>
      </c>
      <c r="L12" s="2">
        <v>0.46062438070970274</v>
      </c>
      <c r="M12" s="2">
        <v>0.60576283000768938</v>
      </c>
      <c r="N12">
        <v>0.16423806448686187</v>
      </c>
      <c r="P12" s="2">
        <f>M12-M5</f>
        <v>-3.7275705033256434</v>
      </c>
      <c r="Q12" s="2">
        <f>M5+M12</f>
        <v>4.9390961633410226</v>
      </c>
    </row>
    <row r="13" spans="1:24" x14ac:dyDescent="0.2">
      <c r="A13" t="s">
        <v>18</v>
      </c>
      <c r="B13" s="2">
        <v>0</v>
      </c>
      <c r="C13" s="2">
        <v>0</v>
      </c>
      <c r="D13" s="2">
        <v>0.55024629002290959</v>
      </c>
      <c r="E13" s="2">
        <v>1.7583895882441558</v>
      </c>
      <c r="F13" s="2">
        <v>1.7970968578874866</v>
      </c>
      <c r="G13" s="2">
        <v>0</v>
      </c>
      <c r="H13" s="2">
        <v>1.7970968578874866</v>
      </c>
      <c r="I13" s="2">
        <v>0</v>
      </c>
      <c r="J13" s="2">
        <v>1.7970968578874866</v>
      </c>
      <c r="K13" s="2">
        <v>1.7970968578874866</v>
      </c>
      <c r="L13" s="2">
        <v>0.37977504508279575</v>
      </c>
      <c r="M13" s="2">
        <v>0.42478143876675378</v>
      </c>
      <c r="N13">
        <v>3.5238229885666668E-2</v>
      </c>
      <c r="P13" s="2">
        <f>M6-M13</f>
        <v>0.15855189456657959</v>
      </c>
      <c r="Q13" s="2">
        <f>M6+M13</f>
        <v>1.0081147721000872</v>
      </c>
    </row>
    <row r="14" spans="1:24" x14ac:dyDescent="0.2">
      <c r="A14" t="s">
        <v>4</v>
      </c>
      <c r="B14" s="2">
        <v>2.1655901502197299</v>
      </c>
      <c r="C14" s="2">
        <v>2.0840188209982053</v>
      </c>
      <c r="D14" s="2">
        <v>0.32082564115977352</v>
      </c>
      <c r="E14" s="2">
        <v>0.79929357958491531</v>
      </c>
      <c r="F14" s="2">
        <v>1.0657247727798871</v>
      </c>
      <c r="G14" s="2">
        <v>2.9313485880424093</v>
      </c>
      <c r="H14" s="2">
        <v>0.94761152164127849</v>
      </c>
      <c r="I14" s="2">
        <v>0.26643119319497177</v>
      </c>
      <c r="J14" s="2">
        <v>0</v>
      </c>
      <c r="K14" s="2">
        <v>2.8388782285088801</v>
      </c>
      <c r="L14" s="2">
        <v>0.33595906452455576</v>
      </c>
      <c r="M14" s="2">
        <v>0.45501788653079095</v>
      </c>
      <c r="N14">
        <v>0.4066719160359023</v>
      </c>
      <c r="P14" s="2">
        <f>M7-M14</f>
        <v>3.6074821134692092</v>
      </c>
      <c r="Q14" s="2">
        <f>M7+M14</f>
        <v>4.5175178865307908</v>
      </c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3" t="s">
        <v>24</v>
      </c>
    </row>
    <row r="18" spans="1:13" x14ac:dyDescent="0.2">
      <c r="B18" s="21" t="s">
        <v>5</v>
      </c>
      <c r="C18" s="21" t="s">
        <v>6</v>
      </c>
      <c r="D18" s="21" t="s">
        <v>7</v>
      </c>
      <c r="E18" s="21" t="s">
        <v>8</v>
      </c>
      <c r="F18" s="21" t="s">
        <v>10</v>
      </c>
      <c r="G18" s="21" t="s">
        <v>17</v>
      </c>
      <c r="H18" s="21" t="s">
        <v>19</v>
      </c>
      <c r="I18" s="21" t="s">
        <v>20</v>
      </c>
      <c r="J18" s="21" t="s">
        <v>9</v>
      </c>
      <c r="K18" s="21" t="s">
        <v>11</v>
      </c>
      <c r="L18" s="21" t="s">
        <v>12</v>
      </c>
      <c r="M18" s="21" t="s">
        <v>13</v>
      </c>
    </row>
    <row r="19" spans="1:13" x14ac:dyDescent="0.2">
      <c r="A19" t="s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10</v>
      </c>
      <c r="K19" s="2">
        <v>0</v>
      </c>
      <c r="L19" s="2">
        <v>0</v>
      </c>
      <c r="M19" s="2">
        <v>0</v>
      </c>
    </row>
    <row r="20" spans="1:13" x14ac:dyDescent="0.2">
      <c r="A20" t="s">
        <v>18</v>
      </c>
      <c r="B20" s="2">
        <v>0</v>
      </c>
      <c r="C20" s="2">
        <v>0</v>
      </c>
      <c r="D20" s="2">
        <v>0.25</v>
      </c>
      <c r="E20" s="2">
        <v>1.75</v>
      </c>
      <c r="F20" s="2">
        <v>2</v>
      </c>
      <c r="G20" s="2">
        <v>0</v>
      </c>
      <c r="H20" s="2">
        <v>2</v>
      </c>
      <c r="I20" s="2">
        <v>0</v>
      </c>
      <c r="J20" s="2">
        <v>8</v>
      </c>
      <c r="K20" s="2">
        <v>2</v>
      </c>
      <c r="L20" s="2">
        <v>0.54999999999999993</v>
      </c>
      <c r="M20" s="2">
        <v>0.58333333333333337</v>
      </c>
    </row>
    <row r="21" spans="1:13" x14ac:dyDescent="0.2">
      <c r="A21" t="s">
        <v>15</v>
      </c>
      <c r="B21" s="2">
        <v>0.875</v>
      </c>
      <c r="C21" s="2">
        <v>4.625</v>
      </c>
      <c r="D21" s="2">
        <v>2.875</v>
      </c>
      <c r="E21" s="2">
        <v>5.875</v>
      </c>
      <c r="F21" s="2">
        <v>9.5</v>
      </c>
      <c r="G21" s="2">
        <v>5.5</v>
      </c>
      <c r="H21" s="2">
        <v>8.75</v>
      </c>
      <c r="I21" s="2">
        <v>3.625</v>
      </c>
      <c r="J21" s="2">
        <v>1.25</v>
      </c>
      <c r="K21" s="2">
        <v>14.5</v>
      </c>
      <c r="L21" s="2">
        <v>2.61375</v>
      </c>
      <c r="M21" s="2">
        <v>3.625</v>
      </c>
    </row>
    <row r="22" spans="1:13" x14ac:dyDescent="0.2">
      <c r="A22" t="s">
        <v>14</v>
      </c>
      <c r="B22" s="2">
        <v>8.25</v>
      </c>
      <c r="C22" s="2">
        <v>13.666666666666666</v>
      </c>
      <c r="D22" s="2">
        <v>0.70833333333333337</v>
      </c>
      <c r="E22" s="2">
        <v>1.5416666666666667</v>
      </c>
      <c r="F22" s="2">
        <v>3.5</v>
      </c>
      <c r="G22" s="2">
        <v>21.916666666666668</v>
      </c>
      <c r="H22" s="2">
        <v>2.25</v>
      </c>
      <c r="I22" s="2">
        <v>1.8333333333333333</v>
      </c>
      <c r="J22" s="2">
        <v>0</v>
      </c>
      <c r="K22" s="2">
        <v>24.166666666666668</v>
      </c>
      <c r="L22" s="2">
        <v>3.3379166666666666</v>
      </c>
      <c r="M22" s="2">
        <v>4.333333333333333</v>
      </c>
    </row>
    <row r="23" spans="1:13" x14ac:dyDescent="0.2">
      <c r="A23" t="s">
        <v>4</v>
      </c>
      <c r="B23" s="2">
        <v>8.875</v>
      </c>
      <c r="C23" s="2">
        <v>16.6875</v>
      </c>
      <c r="D23" s="2">
        <v>0.3125</v>
      </c>
      <c r="E23" s="2">
        <v>0.375</v>
      </c>
      <c r="F23" s="2">
        <v>0.5</v>
      </c>
      <c r="G23" s="2">
        <v>25.5625</v>
      </c>
      <c r="H23" s="2">
        <v>0.6875</v>
      </c>
      <c r="I23" s="2">
        <v>0.125</v>
      </c>
      <c r="J23" s="2">
        <v>0</v>
      </c>
      <c r="K23" s="2">
        <v>26.375</v>
      </c>
      <c r="L23" s="2">
        <v>3.3287500000000003</v>
      </c>
      <c r="M23" s="2">
        <v>4.0625</v>
      </c>
    </row>
    <row r="25" spans="1:13" x14ac:dyDescent="0.2">
      <c r="A25" s="3" t="s">
        <v>23</v>
      </c>
    </row>
    <row r="26" spans="1:13" x14ac:dyDescent="0.2">
      <c r="A26" t="s">
        <v>16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 spans="1:13" x14ac:dyDescent="0.2">
      <c r="A27" t="s">
        <v>18</v>
      </c>
      <c r="B27" s="2">
        <v>0</v>
      </c>
      <c r="C27" s="2">
        <v>0</v>
      </c>
      <c r="D27" s="2">
        <v>0.55024629002290959</v>
      </c>
      <c r="E27" s="2">
        <v>1.7583895882441558</v>
      </c>
      <c r="F27" s="2">
        <v>1.7970968578874866</v>
      </c>
      <c r="G27" s="2">
        <v>0</v>
      </c>
      <c r="H27" s="2">
        <v>1.7970968578874866</v>
      </c>
      <c r="I27" s="2">
        <v>0</v>
      </c>
      <c r="J27" s="2">
        <v>1.7970968578874866</v>
      </c>
      <c r="K27" s="2">
        <v>1.7970968578874866</v>
      </c>
      <c r="L27" s="2">
        <v>0.37977504508279575</v>
      </c>
      <c r="M27" s="2">
        <v>0.42478143876675378</v>
      </c>
    </row>
    <row r="28" spans="1:13" x14ac:dyDescent="0.2">
      <c r="A28" t="s">
        <v>15</v>
      </c>
      <c r="B28" s="2">
        <v>2.0690462201436866</v>
      </c>
      <c r="C28" s="2">
        <v>3.2205025271841006</v>
      </c>
      <c r="D28" s="2">
        <v>1.298045801039214</v>
      </c>
      <c r="E28" s="2">
        <v>2.0690462201436866</v>
      </c>
      <c r="F28" s="2">
        <v>3.1281038569133681</v>
      </c>
      <c r="G28" s="2">
        <v>4.2393998337444385</v>
      </c>
      <c r="H28" s="2">
        <v>2.8526397545409279</v>
      </c>
      <c r="I28" s="2">
        <v>3.3422170474191657</v>
      </c>
      <c r="J28" s="2">
        <v>0.8653638673594759</v>
      </c>
      <c r="K28" s="2">
        <v>3.5749758364724209</v>
      </c>
      <c r="L28" s="2">
        <v>0.69055729363438378</v>
      </c>
      <c r="M28" s="2">
        <v>0.88673409434729422</v>
      </c>
    </row>
    <row r="29" spans="1:13" x14ac:dyDescent="0.2">
      <c r="A29" t="s">
        <v>14</v>
      </c>
      <c r="B29" s="2">
        <v>1.4798861389646061</v>
      </c>
      <c r="C29" s="2">
        <v>2.8846052187051963</v>
      </c>
      <c r="D29" s="2">
        <v>0.61607330217331824</v>
      </c>
      <c r="E29" s="2">
        <v>1.0564221084409415</v>
      </c>
      <c r="F29" s="2">
        <v>2.199436212718088</v>
      </c>
      <c r="G29" s="2">
        <v>3.2396767402621394</v>
      </c>
      <c r="H29" s="2">
        <v>1.2835078925794867</v>
      </c>
      <c r="I29" s="2">
        <v>1.4662908084787252</v>
      </c>
      <c r="J29" s="2">
        <v>0</v>
      </c>
      <c r="K29" s="2">
        <v>3.3543058637077547</v>
      </c>
      <c r="L29" s="2">
        <v>0.46062438070970274</v>
      </c>
      <c r="M29" s="2">
        <v>0.60576283000768938</v>
      </c>
    </row>
    <row r="30" spans="1:13" x14ac:dyDescent="0.2">
      <c r="A30" t="s">
        <v>4</v>
      </c>
      <c r="B30" s="2">
        <v>2.1655901502197299</v>
      </c>
      <c r="C30" s="2">
        <v>2.0840188209982053</v>
      </c>
      <c r="D30" s="2">
        <v>0.32082564115977352</v>
      </c>
      <c r="E30" s="2">
        <v>0.79929357958491531</v>
      </c>
      <c r="F30" s="2">
        <v>1.0657247727798871</v>
      </c>
      <c r="G30" s="2">
        <v>2.9313485880424093</v>
      </c>
      <c r="H30" s="2">
        <v>0.94761152164127849</v>
      </c>
      <c r="I30" s="2">
        <v>0.26643119319497177</v>
      </c>
      <c r="J30" s="2">
        <v>0</v>
      </c>
      <c r="K30" s="2">
        <v>2.8388782285088801</v>
      </c>
      <c r="L30" s="2">
        <v>0.33595906452455576</v>
      </c>
      <c r="M30" s="2">
        <v>0.45501788653079095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F2AD1-1585-C346-9AB0-E46CB92E7E96}">
  <dimension ref="A1:R34"/>
  <sheetViews>
    <sheetView zoomScale="91" workbookViewId="0">
      <selection activeCell="E34" sqref="E34"/>
    </sheetView>
  </sheetViews>
  <sheetFormatPr baseColWidth="10" defaultRowHeight="16" x14ac:dyDescent="0.2"/>
  <cols>
    <col min="3" max="3" width="23" customWidth="1"/>
    <col min="16" max="16" width="15.83203125" customWidth="1"/>
  </cols>
  <sheetData>
    <row r="1" spans="1:12" x14ac:dyDescent="0.2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H1" s="5" t="s">
        <v>4</v>
      </c>
      <c r="I1" s="5" t="s">
        <v>18</v>
      </c>
      <c r="J1" s="5" t="s">
        <v>30</v>
      </c>
      <c r="K1" s="5" t="s">
        <v>15</v>
      </c>
      <c r="L1" s="5" t="s">
        <v>16</v>
      </c>
    </row>
    <row r="2" spans="1:12" x14ac:dyDescent="0.2">
      <c r="A2" s="5" t="s">
        <v>4</v>
      </c>
      <c r="B2" s="5">
        <v>22</v>
      </c>
      <c r="C2" s="5">
        <v>1550</v>
      </c>
      <c r="D2" s="5">
        <v>1.3</v>
      </c>
      <c r="E2" s="5">
        <v>1</v>
      </c>
      <c r="H2" s="5">
        <v>1.3</v>
      </c>
      <c r="I2" s="5">
        <v>0.01</v>
      </c>
      <c r="J2" s="5">
        <v>0.05</v>
      </c>
      <c r="K2" s="5">
        <v>0.05</v>
      </c>
      <c r="L2" s="5">
        <v>5.0000000000000001E-3</v>
      </c>
    </row>
    <row r="3" spans="1:12" x14ac:dyDescent="0.2">
      <c r="A3" s="5" t="s">
        <v>4</v>
      </c>
      <c r="B3" s="5">
        <v>23</v>
      </c>
      <c r="C3" s="5">
        <v>1500</v>
      </c>
      <c r="D3" s="5">
        <v>1.1000000000000001</v>
      </c>
      <c r="E3" s="5">
        <v>2</v>
      </c>
      <c r="H3" s="5">
        <v>1.1000000000000001</v>
      </c>
      <c r="I3" s="5">
        <v>5.0000000000000001E-3</v>
      </c>
      <c r="J3" s="5">
        <v>0.11</v>
      </c>
      <c r="K3" s="5">
        <v>0.03</v>
      </c>
      <c r="L3" s="5">
        <v>5.0000000000000001E-3</v>
      </c>
    </row>
    <row r="4" spans="1:12" x14ac:dyDescent="0.2">
      <c r="A4" s="5" t="s">
        <v>4</v>
      </c>
      <c r="B4" s="5">
        <v>21</v>
      </c>
      <c r="C4" s="5">
        <v>1450</v>
      </c>
      <c r="D4" s="5">
        <v>1.4</v>
      </c>
      <c r="E4" s="5">
        <v>3</v>
      </c>
      <c r="H4" s="5">
        <v>1.4</v>
      </c>
      <c r="I4" s="5">
        <v>5.0000000000000001E-3</v>
      </c>
      <c r="J4" s="5">
        <v>0.18</v>
      </c>
      <c r="K4" s="5">
        <v>0.01</v>
      </c>
    </row>
    <row r="5" spans="1:12" x14ac:dyDescent="0.2">
      <c r="A5" s="5" t="s">
        <v>4</v>
      </c>
      <c r="B5" s="5">
        <v>22</v>
      </c>
      <c r="C5" s="5">
        <v>1400</v>
      </c>
      <c r="D5" s="5">
        <v>0.7</v>
      </c>
      <c r="E5" s="5">
        <v>4</v>
      </c>
      <c r="H5" s="5">
        <v>0.7</v>
      </c>
      <c r="I5" s="5">
        <v>5.0000000000000001E-3</v>
      </c>
      <c r="J5" s="5">
        <v>0.35</v>
      </c>
      <c r="K5" s="5">
        <v>0.01</v>
      </c>
    </row>
    <row r="6" spans="1:12" x14ac:dyDescent="0.2">
      <c r="A6" s="5" t="s">
        <v>4</v>
      </c>
      <c r="B6" s="5">
        <v>17</v>
      </c>
      <c r="C6" s="5">
        <v>1350</v>
      </c>
      <c r="D6" s="5">
        <v>0.5</v>
      </c>
      <c r="E6" s="5">
        <v>5</v>
      </c>
      <c r="H6" s="5">
        <v>0.5</v>
      </c>
      <c r="I6" s="5">
        <v>0.06</v>
      </c>
      <c r="J6" s="5">
        <v>0.28999999999999998</v>
      </c>
      <c r="K6" s="5">
        <v>0.05</v>
      </c>
    </row>
    <row r="7" spans="1:12" x14ac:dyDescent="0.2">
      <c r="A7" s="5" t="s">
        <v>4</v>
      </c>
      <c r="B7" s="5">
        <v>18</v>
      </c>
      <c r="C7" s="5">
        <v>1300</v>
      </c>
      <c r="D7" s="5">
        <v>0.2</v>
      </c>
      <c r="E7" s="5">
        <v>6</v>
      </c>
      <c r="H7" s="5">
        <v>0.2</v>
      </c>
      <c r="I7" s="5">
        <v>0.08</v>
      </c>
      <c r="J7" s="5">
        <v>0.5</v>
      </c>
    </row>
    <row r="8" spans="1:12" x14ac:dyDescent="0.2">
      <c r="A8" s="5" t="s">
        <v>4</v>
      </c>
      <c r="B8" s="5">
        <v>17</v>
      </c>
      <c r="C8" s="5">
        <v>1250</v>
      </c>
      <c r="D8" s="5">
        <v>0.4</v>
      </c>
      <c r="E8" s="5">
        <v>7</v>
      </c>
      <c r="H8" s="5">
        <v>0.4</v>
      </c>
      <c r="J8" s="5">
        <v>0.45</v>
      </c>
    </row>
    <row r="9" spans="1:12" x14ac:dyDescent="0.2">
      <c r="A9" s="5" t="s">
        <v>4</v>
      </c>
      <c r="B9" s="5">
        <v>19</v>
      </c>
      <c r="C9" s="5">
        <v>1200</v>
      </c>
      <c r="D9" s="5">
        <v>0.18</v>
      </c>
      <c r="E9" s="5">
        <v>8</v>
      </c>
      <c r="H9" s="5">
        <v>0.18</v>
      </c>
      <c r="J9" s="5">
        <v>0.69</v>
      </c>
    </row>
    <row r="10" spans="1:12" x14ac:dyDescent="0.2">
      <c r="A10" s="5" t="s">
        <v>18</v>
      </c>
      <c r="B10" s="5">
        <v>12</v>
      </c>
      <c r="C10" s="5">
        <v>1150</v>
      </c>
      <c r="D10" s="5">
        <v>0.01</v>
      </c>
      <c r="E10" s="5">
        <v>9</v>
      </c>
      <c r="J10" s="5">
        <v>0.8</v>
      </c>
    </row>
    <row r="11" spans="1:12" x14ac:dyDescent="0.2">
      <c r="A11" s="5" t="s">
        <v>18</v>
      </c>
      <c r="B11" s="5">
        <v>9</v>
      </c>
      <c r="C11" s="5">
        <v>1100</v>
      </c>
      <c r="D11" s="5">
        <v>5.0000000000000001E-3</v>
      </c>
      <c r="E11" s="5">
        <v>10</v>
      </c>
      <c r="J11" s="5">
        <v>0.5</v>
      </c>
    </row>
    <row r="12" spans="1:12" x14ac:dyDescent="0.2">
      <c r="A12" s="5" t="s">
        <v>18</v>
      </c>
      <c r="B12" s="5">
        <v>9</v>
      </c>
      <c r="C12" s="5">
        <v>1050</v>
      </c>
      <c r="D12" s="5">
        <v>5.0000000000000001E-3</v>
      </c>
      <c r="E12" s="5">
        <v>11</v>
      </c>
      <c r="J12" s="5">
        <v>0.2</v>
      </c>
    </row>
    <row r="13" spans="1:12" x14ac:dyDescent="0.2">
      <c r="A13" s="5" t="s">
        <v>18</v>
      </c>
      <c r="B13" s="5">
        <v>9</v>
      </c>
      <c r="C13" s="5">
        <v>1000</v>
      </c>
      <c r="D13" s="5">
        <v>5.0000000000000001E-3</v>
      </c>
      <c r="E13" s="5">
        <v>12</v>
      </c>
      <c r="J13" s="5">
        <v>0.8</v>
      </c>
    </row>
    <row r="14" spans="1:12" x14ac:dyDescent="0.2">
      <c r="A14" s="5" t="s">
        <v>18</v>
      </c>
      <c r="B14" s="5">
        <v>9</v>
      </c>
      <c r="C14" s="5">
        <v>900</v>
      </c>
      <c r="D14" s="5">
        <v>0.06</v>
      </c>
      <c r="E14" s="5">
        <v>13</v>
      </c>
    </row>
    <row r="15" spans="1:12" x14ac:dyDescent="0.2">
      <c r="A15" s="5" t="s">
        <v>18</v>
      </c>
      <c r="B15" s="5">
        <v>11</v>
      </c>
      <c r="C15" s="5">
        <v>850</v>
      </c>
      <c r="D15" s="5">
        <v>0.08</v>
      </c>
      <c r="E15" s="5">
        <v>14</v>
      </c>
    </row>
    <row r="16" spans="1:12" x14ac:dyDescent="0.2">
      <c r="A16" s="5" t="s">
        <v>30</v>
      </c>
      <c r="B16" s="5">
        <v>13</v>
      </c>
      <c r="C16" s="5">
        <v>800</v>
      </c>
      <c r="D16" s="5">
        <v>0.05</v>
      </c>
      <c r="E16" s="5">
        <v>15</v>
      </c>
    </row>
    <row r="17" spans="1:18" x14ac:dyDescent="0.2">
      <c r="A17" s="5" t="s">
        <v>30</v>
      </c>
      <c r="B17" s="5">
        <v>16</v>
      </c>
      <c r="C17" s="5">
        <v>750</v>
      </c>
      <c r="D17" s="5">
        <v>0.11</v>
      </c>
      <c r="E17" s="5">
        <v>16</v>
      </c>
    </row>
    <row r="18" spans="1:18" ht="17" thickBot="1" x14ac:dyDescent="0.25">
      <c r="A18" s="5" t="s">
        <v>30</v>
      </c>
      <c r="B18" s="5">
        <v>11</v>
      </c>
      <c r="C18" s="5">
        <v>700</v>
      </c>
      <c r="D18" s="5">
        <v>0.18</v>
      </c>
      <c r="E18" s="5">
        <v>17</v>
      </c>
    </row>
    <row r="19" spans="1:18" x14ac:dyDescent="0.2">
      <c r="A19" s="5" t="s">
        <v>30</v>
      </c>
      <c r="B19" s="5">
        <v>14</v>
      </c>
      <c r="C19" s="5">
        <v>650</v>
      </c>
      <c r="D19" s="5">
        <v>0.35</v>
      </c>
      <c r="E19" s="5">
        <v>18</v>
      </c>
      <c r="I19" s="22" t="s">
        <v>4</v>
      </c>
      <c r="J19" s="22"/>
      <c r="K19" s="22" t="s">
        <v>18</v>
      </c>
      <c r="L19" s="22"/>
      <c r="M19" s="22" t="s">
        <v>30</v>
      </c>
      <c r="N19" s="22"/>
      <c r="O19" s="22" t="s">
        <v>15</v>
      </c>
      <c r="P19" s="22"/>
      <c r="Q19" s="22" t="s">
        <v>16</v>
      </c>
      <c r="R19" s="22"/>
    </row>
    <row r="20" spans="1:18" x14ac:dyDescent="0.2">
      <c r="A20" s="5" t="s">
        <v>30</v>
      </c>
      <c r="B20" s="5">
        <v>16</v>
      </c>
      <c r="C20" s="5">
        <v>600</v>
      </c>
      <c r="D20" s="5">
        <v>0.28999999999999998</v>
      </c>
      <c r="E20" s="5">
        <v>19</v>
      </c>
      <c r="H20" t="s">
        <v>31</v>
      </c>
      <c r="I20">
        <v>0.72250000000000003</v>
      </c>
      <c r="J20" t="s">
        <v>31</v>
      </c>
      <c r="K20">
        <v>2.7499999999999997E-2</v>
      </c>
      <c r="L20" t="s">
        <v>31</v>
      </c>
      <c r="M20">
        <v>0.41</v>
      </c>
      <c r="N20" t="s">
        <v>31</v>
      </c>
      <c r="O20">
        <v>0.03</v>
      </c>
      <c r="P20" t="s">
        <v>31</v>
      </c>
      <c r="Q20">
        <v>5.0000000000000001E-3</v>
      </c>
    </row>
    <row r="21" spans="1:18" x14ac:dyDescent="0.2">
      <c r="A21" s="5" t="s">
        <v>30</v>
      </c>
      <c r="B21" s="5">
        <v>20</v>
      </c>
      <c r="C21" s="5">
        <v>550</v>
      </c>
      <c r="D21" s="5">
        <v>0.5</v>
      </c>
      <c r="E21" s="5">
        <v>20</v>
      </c>
      <c r="H21" t="s">
        <v>32</v>
      </c>
      <c r="I21">
        <v>0.17198162277240139</v>
      </c>
      <c r="J21" t="s">
        <v>32</v>
      </c>
      <c r="K21">
        <v>1.3708270009985458E-2</v>
      </c>
      <c r="L21" t="s">
        <v>32</v>
      </c>
      <c r="M21">
        <v>7.4620250724463669E-2</v>
      </c>
      <c r="N21" t="s">
        <v>32</v>
      </c>
      <c r="O21">
        <v>8.9442719099991595E-3</v>
      </c>
      <c r="P21" t="s">
        <v>32</v>
      </c>
      <c r="Q21">
        <v>0</v>
      </c>
    </row>
    <row r="22" spans="1:18" x14ac:dyDescent="0.2">
      <c r="A22" s="5" t="s">
        <v>30</v>
      </c>
      <c r="B22" s="5">
        <v>19</v>
      </c>
      <c r="C22" s="5">
        <v>500</v>
      </c>
      <c r="D22" s="5">
        <v>0.45</v>
      </c>
      <c r="E22" s="5">
        <v>21</v>
      </c>
      <c r="H22" t="s">
        <v>33</v>
      </c>
      <c r="I22">
        <v>0.6</v>
      </c>
      <c r="J22" t="s">
        <v>33</v>
      </c>
      <c r="K22">
        <v>7.4999999999999997E-3</v>
      </c>
      <c r="L22" t="s">
        <v>33</v>
      </c>
      <c r="M22">
        <v>0.4</v>
      </c>
      <c r="N22" t="s">
        <v>33</v>
      </c>
      <c r="O22">
        <v>0.03</v>
      </c>
      <c r="P22" t="s">
        <v>33</v>
      </c>
      <c r="Q22">
        <v>5.0000000000000001E-3</v>
      </c>
    </row>
    <row r="23" spans="1:18" x14ac:dyDescent="0.2">
      <c r="A23" s="5" t="s">
        <v>30</v>
      </c>
      <c r="B23" s="5">
        <v>19</v>
      </c>
      <c r="C23" s="5">
        <v>450</v>
      </c>
      <c r="D23" s="5">
        <v>0.69</v>
      </c>
      <c r="E23" s="5">
        <v>22</v>
      </c>
      <c r="H23" t="s">
        <v>34</v>
      </c>
      <c r="I23" t="e">
        <v>#N/A</v>
      </c>
      <c r="J23" t="s">
        <v>34</v>
      </c>
      <c r="K23">
        <v>5.0000000000000001E-3</v>
      </c>
      <c r="L23" t="s">
        <v>34</v>
      </c>
      <c r="M23">
        <v>0.5</v>
      </c>
      <c r="N23" t="s">
        <v>34</v>
      </c>
      <c r="O23">
        <v>0.05</v>
      </c>
      <c r="P23" t="s">
        <v>34</v>
      </c>
      <c r="Q23">
        <v>5.0000000000000001E-3</v>
      </c>
    </row>
    <row r="24" spans="1:18" x14ac:dyDescent="0.2">
      <c r="A24" s="5" t="s">
        <v>30</v>
      </c>
      <c r="B24" s="5">
        <v>19</v>
      </c>
      <c r="C24" s="5">
        <v>400</v>
      </c>
      <c r="D24" s="5">
        <v>0.8</v>
      </c>
      <c r="E24" s="5">
        <v>23</v>
      </c>
      <c r="H24" t="s">
        <v>35</v>
      </c>
      <c r="I24">
        <v>0.48643748680732724</v>
      </c>
      <c r="J24" t="s">
        <v>35</v>
      </c>
      <c r="K24">
        <v>3.3578266780761631E-2</v>
      </c>
      <c r="L24" t="s">
        <v>35</v>
      </c>
      <c r="M24">
        <v>0.2584921310565988</v>
      </c>
      <c r="N24" t="s">
        <v>35</v>
      </c>
      <c r="O24">
        <v>2.0000000000000004E-2</v>
      </c>
      <c r="P24" t="s">
        <v>35</v>
      </c>
      <c r="Q24">
        <v>0</v>
      </c>
    </row>
    <row r="25" spans="1:18" x14ac:dyDescent="0.2">
      <c r="A25" s="5" t="s">
        <v>30</v>
      </c>
      <c r="B25" s="5">
        <v>18</v>
      </c>
      <c r="C25" s="5">
        <v>350</v>
      </c>
      <c r="D25" s="5">
        <v>0.5</v>
      </c>
      <c r="E25" s="5">
        <v>24</v>
      </c>
      <c r="H25" t="s">
        <v>36</v>
      </c>
      <c r="I25">
        <v>0.23662142857142868</v>
      </c>
      <c r="J25" t="s">
        <v>36</v>
      </c>
      <c r="K25">
        <v>1.1275000000000002E-3</v>
      </c>
      <c r="L25" t="s">
        <v>36</v>
      </c>
      <c r="M25">
        <v>6.6818181818181846E-2</v>
      </c>
      <c r="N25" t="s">
        <v>36</v>
      </c>
      <c r="O25">
        <v>4.0000000000000018E-4</v>
      </c>
      <c r="P25" t="s">
        <v>36</v>
      </c>
      <c r="Q25">
        <v>0</v>
      </c>
    </row>
    <row r="26" spans="1:18" x14ac:dyDescent="0.2">
      <c r="A26" s="5" t="s">
        <v>30</v>
      </c>
      <c r="B26" s="5">
        <v>20</v>
      </c>
      <c r="C26" s="5">
        <v>300</v>
      </c>
      <c r="D26" s="5">
        <v>0.2</v>
      </c>
      <c r="E26" s="5">
        <v>25</v>
      </c>
      <c r="H26" t="s">
        <v>37</v>
      </c>
      <c r="I26">
        <v>-1.736327152057684</v>
      </c>
      <c r="J26" t="s">
        <v>37</v>
      </c>
      <c r="K26">
        <v>-0.97752715080063535</v>
      </c>
      <c r="L26" t="s">
        <v>37</v>
      </c>
      <c r="M26">
        <v>-1.1248002887685691</v>
      </c>
      <c r="N26" t="s">
        <v>37</v>
      </c>
      <c r="O26">
        <v>-3</v>
      </c>
      <c r="P26" t="s">
        <v>37</v>
      </c>
      <c r="Q26" t="e">
        <v>#DIV/0!</v>
      </c>
    </row>
    <row r="27" spans="1:18" x14ac:dyDescent="0.2">
      <c r="A27" s="5" t="s">
        <v>30</v>
      </c>
      <c r="B27" s="5">
        <v>20</v>
      </c>
      <c r="C27" s="5">
        <v>250</v>
      </c>
      <c r="D27" s="5">
        <v>0.8</v>
      </c>
      <c r="E27" s="5">
        <v>26</v>
      </c>
      <c r="H27" t="s">
        <v>38</v>
      </c>
      <c r="I27">
        <v>0.34834213956223475</v>
      </c>
      <c r="J27" t="s">
        <v>38</v>
      </c>
      <c r="K27">
        <v>1.105402993908486</v>
      </c>
      <c r="L27" t="s">
        <v>38</v>
      </c>
      <c r="M27">
        <v>0.28475346739328133</v>
      </c>
      <c r="N27" t="s">
        <v>38</v>
      </c>
      <c r="O27">
        <v>1.1102230246251565E-15</v>
      </c>
      <c r="P27" t="s">
        <v>38</v>
      </c>
      <c r="Q27" t="e">
        <v>#DIV/0!</v>
      </c>
    </row>
    <row r="28" spans="1:18" x14ac:dyDescent="0.2">
      <c r="A28" s="5" t="s">
        <v>15</v>
      </c>
      <c r="B28" s="5">
        <v>19</v>
      </c>
      <c r="C28" s="5">
        <v>200</v>
      </c>
      <c r="D28" s="5">
        <v>0.05</v>
      </c>
      <c r="E28" s="5">
        <v>27</v>
      </c>
      <c r="H28" t="s">
        <v>39</v>
      </c>
      <c r="I28">
        <v>1.22</v>
      </c>
      <c r="J28" t="s">
        <v>39</v>
      </c>
      <c r="K28">
        <v>7.4999999999999997E-2</v>
      </c>
      <c r="L28" t="s">
        <v>39</v>
      </c>
      <c r="M28">
        <v>0.75</v>
      </c>
      <c r="N28" t="s">
        <v>39</v>
      </c>
      <c r="O28">
        <v>0.04</v>
      </c>
      <c r="P28" t="s">
        <v>39</v>
      </c>
      <c r="Q28">
        <v>0</v>
      </c>
    </row>
    <row r="29" spans="1:18" x14ac:dyDescent="0.2">
      <c r="A29" s="5" t="s">
        <v>15</v>
      </c>
      <c r="B29" s="5">
        <v>11</v>
      </c>
      <c r="C29" s="5">
        <v>150</v>
      </c>
      <c r="D29" s="5">
        <v>0.03</v>
      </c>
      <c r="E29" s="5">
        <v>28</v>
      </c>
      <c r="H29" t="s">
        <v>40</v>
      </c>
      <c r="I29">
        <v>0.18</v>
      </c>
      <c r="J29" t="s">
        <v>40</v>
      </c>
      <c r="K29">
        <v>5.0000000000000001E-3</v>
      </c>
      <c r="L29" t="s">
        <v>40</v>
      </c>
      <c r="M29">
        <v>0.05</v>
      </c>
      <c r="N29" t="s">
        <v>40</v>
      </c>
      <c r="O29">
        <v>0.01</v>
      </c>
      <c r="P29" t="s">
        <v>40</v>
      </c>
      <c r="Q29">
        <v>5.0000000000000001E-3</v>
      </c>
    </row>
    <row r="30" spans="1:18" x14ac:dyDescent="0.2">
      <c r="A30" s="5" t="s">
        <v>15</v>
      </c>
      <c r="B30" s="5">
        <v>10</v>
      </c>
      <c r="C30" s="5">
        <v>100</v>
      </c>
      <c r="D30" s="5">
        <v>0.01</v>
      </c>
      <c r="E30" s="5">
        <v>29</v>
      </c>
      <c r="H30" t="s">
        <v>41</v>
      </c>
      <c r="I30">
        <v>1.4</v>
      </c>
      <c r="J30" t="s">
        <v>41</v>
      </c>
      <c r="K30">
        <v>0.08</v>
      </c>
      <c r="L30" t="s">
        <v>41</v>
      </c>
      <c r="M30">
        <v>0.8</v>
      </c>
      <c r="N30" t="s">
        <v>41</v>
      </c>
      <c r="O30">
        <v>0.05</v>
      </c>
      <c r="P30" t="s">
        <v>41</v>
      </c>
      <c r="Q30">
        <v>5.0000000000000001E-3</v>
      </c>
    </row>
    <row r="31" spans="1:18" x14ac:dyDescent="0.2">
      <c r="A31" s="5" t="s">
        <v>15</v>
      </c>
      <c r="B31" s="5">
        <v>10</v>
      </c>
      <c r="C31" s="5">
        <v>50</v>
      </c>
      <c r="D31" s="5">
        <v>0.01</v>
      </c>
      <c r="E31" s="5">
        <v>30</v>
      </c>
      <c r="H31" t="s">
        <v>42</v>
      </c>
      <c r="I31">
        <v>5.78</v>
      </c>
      <c r="J31" t="s">
        <v>42</v>
      </c>
      <c r="K31">
        <v>0.16499999999999998</v>
      </c>
      <c r="L31" t="s">
        <v>42</v>
      </c>
      <c r="M31">
        <v>4.92</v>
      </c>
      <c r="N31" t="s">
        <v>42</v>
      </c>
      <c r="O31">
        <v>0.15</v>
      </c>
      <c r="P31" t="s">
        <v>42</v>
      </c>
      <c r="Q31">
        <v>0.01</v>
      </c>
    </row>
    <row r="32" spans="1:18" x14ac:dyDescent="0.2">
      <c r="A32" s="5" t="s">
        <v>15</v>
      </c>
      <c r="B32" s="5">
        <v>5</v>
      </c>
      <c r="C32" s="5">
        <v>0</v>
      </c>
      <c r="D32" s="5">
        <v>0.05</v>
      </c>
      <c r="E32" s="5">
        <v>31</v>
      </c>
      <c r="H32" t="s">
        <v>43</v>
      </c>
      <c r="I32">
        <v>8</v>
      </c>
      <c r="J32" t="s">
        <v>43</v>
      </c>
      <c r="K32">
        <v>6</v>
      </c>
      <c r="L32" t="s">
        <v>43</v>
      </c>
      <c r="M32">
        <v>12</v>
      </c>
      <c r="N32" t="s">
        <v>43</v>
      </c>
      <c r="O32">
        <v>5</v>
      </c>
      <c r="P32" t="s">
        <v>43</v>
      </c>
      <c r="Q32">
        <v>2</v>
      </c>
    </row>
    <row r="33" spans="1:17" x14ac:dyDescent="0.2">
      <c r="A33" s="5" t="s">
        <v>16</v>
      </c>
      <c r="B33" s="5">
        <v>1</v>
      </c>
      <c r="C33" s="5">
        <v>0</v>
      </c>
      <c r="D33" s="5">
        <v>5.0000000000000001E-3</v>
      </c>
      <c r="E33" s="5">
        <v>32</v>
      </c>
      <c r="H33" t="s">
        <v>44</v>
      </c>
      <c r="I33">
        <v>0.18</v>
      </c>
      <c r="J33" t="s">
        <v>44</v>
      </c>
      <c r="K33">
        <v>5.0000000000000001E-3</v>
      </c>
      <c r="L33" t="s">
        <v>44</v>
      </c>
      <c r="M33">
        <v>0.05</v>
      </c>
      <c r="N33" t="s">
        <v>44</v>
      </c>
      <c r="O33">
        <v>0.01</v>
      </c>
      <c r="P33" t="s">
        <v>44</v>
      </c>
      <c r="Q33">
        <v>5.0000000000000001E-3</v>
      </c>
    </row>
    <row r="34" spans="1:17" ht="17" thickBot="1" x14ac:dyDescent="0.25">
      <c r="A34" s="5" t="s">
        <v>16</v>
      </c>
      <c r="B34" s="5">
        <v>0</v>
      </c>
      <c r="C34" s="5">
        <v>-50</v>
      </c>
      <c r="D34" s="5">
        <v>5.0000000000000001E-3</v>
      </c>
      <c r="E34" s="5">
        <v>33</v>
      </c>
      <c r="H34" s="23" t="s">
        <v>23</v>
      </c>
      <c r="I34" s="23">
        <v>0.4066719160359023</v>
      </c>
      <c r="J34" s="23" t="s">
        <v>23</v>
      </c>
      <c r="K34" s="23">
        <v>3.5238229885666668E-2</v>
      </c>
      <c r="L34" s="23" t="s">
        <v>23</v>
      </c>
      <c r="M34" s="23">
        <v>0.16423806448686187</v>
      </c>
      <c r="N34" s="23" t="s">
        <v>23</v>
      </c>
      <c r="O34" s="23">
        <v>2.4833279964075281E-2</v>
      </c>
      <c r="P34" s="23" t="s">
        <v>23</v>
      </c>
      <c r="Q34" s="23">
        <v>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2914-4F89-6143-993E-C486731E46FA}">
  <dimension ref="A1:BR26"/>
  <sheetViews>
    <sheetView topLeftCell="D1" zoomScale="109" workbookViewId="0">
      <selection activeCell="AN2" sqref="AN2"/>
    </sheetView>
  </sheetViews>
  <sheetFormatPr baseColWidth="10" defaultColWidth="6.1640625" defaultRowHeight="16" x14ac:dyDescent="0.2"/>
  <cols>
    <col min="15" max="28" width="6.1640625" style="4"/>
    <col min="43" max="56" width="6.1640625" style="4"/>
  </cols>
  <sheetData>
    <row r="1" spans="1:70" s="19" customFormat="1" ht="14" x14ac:dyDescent="0.2">
      <c r="A1" s="16"/>
      <c r="B1" s="16"/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17" t="s">
        <v>4</v>
      </c>
      <c r="N1" s="17" t="s">
        <v>4</v>
      </c>
      <c r="O1" s="1" t="s">
        <v>18</v>
      </c>
      <c r="P1" s="1" t="s">
        <v>18</v>
      </c>
      <c r="Q1" s="1" t="s">
        <v>18</v>
      </c>
      <c r="R1" s="1" t="s">
        <v>18</v>
      </c>
      <c r="S1" s="1" t="s">
        <v>18</v>
      </c>
      <c r="T1" s="1" t="s">
        <v>18</v>
      </c>
      <c r="U1" s="1" t="s">
        <v>18</v>
      </c>
      <c r="V1" s="1" t="s">
        <v>18</v>
      </c>
      <c r="W1" s="1" t="s">
        <v>18</v>
      </c>
      <c r="X1" s="1" t="s">
        <v>18</v>
      </c>
      <c r="Y1" s="1" t="s">
        <v>18</v>
      </c>
      <c r="Z1" s="1" t="s">
        <v>18</v>
      </c>
      <c r="AA1" s="1" t="s">
        <v>18</v>
      </c>
      <c r="AB1" s="1" t="s">
        <v>18</v>
      </c>
      <c r="AC1" s="6" t="s">
        <v>14</v>
      </c>
      <c r="AD1" s="6" t="s">
        <v>14</v>
      </c>
      <c r="AE1" s="6" t="s">
        <v>14</v>
      </c>
      <c r="AF1" s="6" t="s">
        <v>14</v>
      </c>
      <c r="AG1" s="6" t="s">
        <v>14</v>
      </c>
      <c r="AH1" s="6" t="s">
        <v>14</v>
      </c>
      <c r="AI1" s="6" t="s">
        <v>14</v>
      </c>
      <c r="AJ1" s="6" t="s">
        <v>14</v>
      </c>
      <c r="AK1" s="6" t="s">
        <v>14</v>
      </c>
      <c r="AL1" s="6" t="s">
        <v>14</v>
      </c>
      <c r="AM1" s="6" t="s">
        <v>14</v>
      </c>
      <c r="AN1" s="6" t="s">
        <v>14</v>
      </c>
      <c r="AO1" s="6" t="s">
        <v>14</v>
      </c>
      <c r="AP1" s="6" t="s">
        <v>14</v>
      </c>
      <c r="AQ1" s="1" t="s">
        <v>15</v>
      </c>
      <c r="AR1" s="1" t="s">
        <v>15</v>
      </c>
      <c r="AS1" s="1" t="s">
        <v>15</v>
      </c>
      <c r="AT1" s="1" t="s">
        <v>15</v>
      </c>
      <c r="AU1" s="1" t="s">
        <v>15</v>
      </c>
      <c r="AV1" s="1" t="s">
        <v>15</v>
      </c>
      <c r="AW1" s="1" t="s">
        <v>15</v>
      </c>
      <c r="AX1" s="1" t="s">
        <v>15</v>
      </c>
      <c r="AY1" s="1" t="s">
        <v>15</v>
      </c>
      <c r="AZ1" s="1" t="s">
        <v>15</v>
      </c>
      <c r="BA1" s="1" t="s">
        <v>15</v>
      </c>
      <c r="BB1" s="1" t="s">
        <v>15</v>
      </c>
      <c r="BC1" s="18" t="s">
        <v>15</v>
      </c>
      <c r="BD1" s="1" t="s">
        <v>15</v>
      </c>
      <c r="BE1" s="6" t="s">
        <v>16</v>
      </c>
      <c r="BF1" s="6" t="s">
        <v>16</v>
      </c>
      <c r="BG1" s="6" t="s">
        <v>16</v>
      </c>
      <c r="BH1" s="6" t="s">
        <v>16</v>
      </c>
      <c r="BI1" s="6" t="s">
        <v>16</v>
      </c>
      <c r="BJ1" s="6" t="s">
        <v>16</v>
      </c>
      <c r="BK1" s="6" t="s">
        <v>16</v>
      </c>
      <c r="BL1" s="6" t="s">
        <v>16</v>
      </c>
      <c r="BM1" s="6" t="s">
        <v>16</v>
      </c>
      <c r="BN1" s="6" t="s">
        <v>16</v>
      </c>
      <c r="BO1" s="6" t="s">
        <v>16</v>
      </c>
      <c r="BP1" s="6" t="s">
        <v>16</v>
      </c>
      <c r="BQ1" s="6" t="s">
        <v>16</v>
      </c>
      <c r="BR1" s="6" t="s">
        <v>16</v>
      </c>
    </row>
    <row r="2" spans="1:70" ht="106" x14ac:dyDescent="0.2">
      <c r="A2" s="7" t="s">
        <v>2</v>
      </c>
      <c r="B2" s="7" t="s">
        <v>3</v>
      </c>
      <c r="C2" s="7" t="s">
        <v>5</v>
      </c>
      <c r="D2" s="7" t="s">
        <v>6</v>
      </c>
      <c r="E2" s="7" t="s">
        <v>17</v>
      </c>
      <c r="F2" s="7" t="s">
        <v>7</v>
      </c>
      <c r="G2" s="7" t="s">
        <v>8</v>
      </c>
      <c r="H2" s="7" t="s">
        <v>19</v>
      </c>
      <c r="I2" s="7" t="s">
        <v>10</v>
      </c>
      <c r="J2" s="7" t="s">
        <v>20</v>
      </c>
      <c r="K2" s="7" t="s">
        <v>9</v>
      </c>
      <c r="L2" s="7" t="s">
        <v>11</v>
      </c>
      <c r="M2" s="8" t="s">
        <v>12</v>
      </c>
      <c r="N2" s="7" t="s">
        <v>13</v>
      </c>
      <c r="O2" s="11" t="s">
        <v>2</v>
      </c>
      <c r="P2" s="11" t="s">
        <v>3</v>
      </c>
      <c r="Q2" s="11" t="s">
        <v>5</v>
      </c>
      <c r="R2" s="11" t="s">
        <v>6</v>
      </c>
      <c r="S2" s="11" t="s">
        <v>17</v>
      </c>
      <c r="T2" s="11" t="s">
        <v>7</v>
      </c>
      <c r="U2" s="11" t="s">
        <v>8</v>
      </c>
      <c r="V2" s="11" t="s">
        <v>19</v>
      </c>
      <c r="W2" s="11" t="s">
        <v>10</v>
      </c>
      <c r="X2" s="11" t="s">
        <v>20</v>
      </c>
      <c r="Y2" s="11" t="s">
        <v>9</v>
      </c>
      <c r="Z2" s="11" t="s">
        <v>11</v>
      </c>
      <c r="AA2" s="12" t="s">
        <v>12</v>
      </c>
      <c r="AB2" s="11" t="s">
        <v>13</v>
      </c>
      <c r="AC2" s="7" t="s">
        <v>2</v>
      </c>
      <c r="AD2" s="7" t="s">
        <v>3</v>
      </c>
      <c r="AE2" s="7" t="s">
        <v>5</v>
      </c>
      <c r="AF2" s="7" t="s">
        <v>6</v>
      </c>
      <c r="AG2" s="7" t="s">
        <v>17</v>
      </c>
      <c r="AH2" s="7" t="s">
        <v>7</v>
      </c>
      <c r="AI2" s="7" t="s">
        <v>8</v>
      </c>
      <c r="AJ2" s="7" t="s">
        <v>19</v>
      </c>
      <c r="AK2" s="7" t="s">
        <v>10</v>
      </c>
      <c r="AL2" s="7" t="s">
        <v>20</v>
      </c>
      <c r="AM2" s="7" t="s">
        <v>9</v>
      </c>
      <c r="AN2" s="7" t="s">
        <v>11</v>
      </c>
      <c r="AO2" s="8" t="s">
        <v>12</v>
      </c>
      <c r="AP2" s="7" t="s">
        <v>13</v>
      </c>
      <c r="AQ2" s="11" t="s">
        <v>2</v>
      </c>
      <c r="AR2" s="11" t="s">
        <v>3</v>
      </c>
      <c r="AS2" s="11" t="s">
        <v>5</v>
      </c>
      <c r="AT2" s="11" t="s">
        <v>6</v>
      </c>
      <c r="AU2" s="11" t="s">
        <v>17</v>
      </c>
      <c r="AV2" s="11" t="s">
        <v>7</v>
      </c>
      <c r="AW2" s="11" t="s">
        <v>8</v>
      </c>
      <c r="AX2" s="11" t="s">
        <v>19</v>
      </c>
      <c r="AY2" s="11" t="s">
        <v>10</v>
      </c>
      <c r="AZ2" s="11" t="s">
        <v>20</v>
      </c>
      <c r="BA2" s="11" t="s">
        <v>9</v>
      </c>
      <c r="BB2" s="11" t="s">
        <v>11</v>
      </c>
      <c r="BC2" s="12" t="s">
        <v>12</v>
      </c>
      <c r="BD2" s="11" t="s">
        <v>13</v>
      </c>
      <c r="BE2" s="7" t="s">
        <v>2</v>
      </c>
      <c r="BF2" s="7" t="s">
        <v>3</v>
      </c>
      <c r="BG2" s="7" t="s">
        <v>5</v>
      </c>
      <c r="BH2" s="7" t="s">
        <v>6</v>
      </c>
      <c r="BI2" s="7" t="s">
        <v>17</v>
      </c>
      <c r="BJ2" s="7" t="s">
        <v>7</v>
      </c>
      <c r="BK2" s="7" t="s">
        <v>8</v>
      </c>
      <c r="BL2" s="7" t="s">
        <v>19</v>
      </c>
      <c r="BM2" s="7" t="s">
        <v>10</v>
      </c>
      <c r="BN2" s="7" t="s">
        <v>20</v>
      </c>
      <c r="BO2" s="7" t="s">
        <v>9</v>
      </c>
      <c r="BP2" s="7" t="s">
        <v>11</v>
      </c>
      <c r="BQ2" s="8" t="s">
        <v>12</v>
      </c>
      <c r="BR2" s="7" t="s">
        <v>13</v>
      </c>
    </row>
    <row r="3" spans="1:70" x14ac:dyDescent="0.2">
      <c r="A3" s="9">
        <v>1</v>
      </c>
      <c r="B3" s="9" t="s">
        <v>0</v>
      </c>
      <c r="C3" s="20">
        <v>9</v>
      </c>
      <c r="D3" s="20">
        <v>19</v>
      </c>
      <c r="E3" s="20">
        <v>28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28</v>
      </c>
      <c r="M3" s="10">
        <v>3.35</v>
      </c>
      <c r="N3" s="20">
        <v>4</v>
      </c>
      <c r="O3" s="13">
        <v>9</v>
      </c>
      <c r="P3" s="13" t="s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10</v>
      </c>
      <c r="Z3" s="14">
        <v>0</v>
      </c>
      <c r="AA3" s="15">
        <v>0</v>
      </c>
      <c r="AB3" s="14">
        <v>0</v>
      </c>
      <c r="AC3" s="9">
        <v>15</v>
      </c>
      <c r="AD3" s="9" t="s">
        <v>0</v>
      </c>
      <c r="AE3" s="5">
        <v>13</v>
      </c>
      <c r="AF3" s="5">
        <v>13</v>
      </c>
      <c r="AG3" s="5">
        <v>26</v>
      </c>
      <c r="AH3" s="5">
        <v>4</v>
      </c>
      <c r="AI3" s="5">
        <v>0</v>
      </c>
      <c r="AJ3" s="5">
        <v>4</v>
      </c>
      <c r="AK3" s="5">
        <v>8</v>
      </c>
      <c r="AL3" s="5">
        <v>8</v>
      </c>
      <c r="AM3" s="5">
        <v>0</v>
      </c>
      <c r="AN3" s="5">
        <v>30</v>
      </c>
      <c r="AO3" s="10">
        <v>4.33</v>
      </c>
      <c r="AP3" s="5">
        <v>6</v>
      </c>
      <c r="AQ3" s="13">
        <v>28</v>
      </c>
      <c r="AR3" s="13" t="s">
        <v>0</v>
      </c>
      <c r="AS3" s="14">
        <v>0</v>
      </c>
      <c r="AT3" s="14">
        <v>8</v>
      </c>
      <c r="AU3" s="14">
        <v>8</v>
      </c>
      <c r="AV3" s="14">
        <v>4</v>
      </c>
      <c r="AW3" s="14">
        <v>5</v>
      </c>
      <c r="AX3" s="14">
        <v>9</v>
      </c>
      <c r="AY3" s="14">
        <v>13</v>
      </c>
      <c r="AZ3" s="14">
        <v>8</v>
      </c>
      <c r="BA3" s="14">
        <v>1</v>
      </c>
      <c r="BB3" s="14">
        <v>17</v>
      </c>
      <c r="BC3" s="15">
        <v>2.92</v>
      </c>
      <c r="BD3" s="14">
        <v>4</v>
      </c>
      <c r="BE3" s="9">
        <v>32</v>
      </c>
      <c r="BF3" s="9" t="s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10</v>
      </c>
      <c r="BP3" s="5">
        <v>0</v>
      </c>
      <c r="BQ3" s="5">
        <v>0</v>
      </c>
      <c r="BR3" s="5">
        <v>0</v>
      </c>
    </row>
    <row r="4" spans="1:70" x14ac:dyDescent="0.2">
      <c r="A4" s="9">
        <v>1</v>
      </c>
      <c r="B4" s="9" t="s">
        <v>1</v>
      </c>
      <c r="C4" s="20">
        <v>10</v>
      </c>
      <c r="D4" s="20">
        <v>22</v>
      </c>
      <c r="E4" s="20">
        <v>32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32</v>
      </c>
      <c r="M4" s="10">
        <v>3.74</v>
      </c>
      <c r="N4" s="20">
        <v>4</v>
      </c>
      <c r="O4" s="13">
        <v>9</v>
      </c>
      <c r="P4" s="13" t="s">
        <v>1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10</v>
      </c>
      <c r="Z4" s="14">
        <v>0</v>
      </c>
      <c r="AA4" s="15">
        <v>0</v>
      </c>
      <c r="AB4" s="14">
        <v>0</v>
      </c>
      <c r="AC4" s="9">
        <v>15</v>
      </c>
      <c r="AD4" s="9" t="s">
        <v>1</v>
      </c>
      <c r="AE4" s="5">
        <v>0</v>
      </c>
      <c r="AF4" s="5">
        <v>15</v>
      </c>
      <c r="AG4" s="5">
        <v>15</v>
      </c>
      <c r="AH4" s="5">
        <v>3</v>
      </c>
      <c r="AI4" s="5">
        <v>8</v>
      </c>
      <c r="AJ4" s="5">
        <v>11</v>
      </c>
      <c r="AK4" s="5">
        <v>20</v>
      </c>
      <c r="AL4" s="5">
        <v>10</v>
      </c>
      <c r="AM4" s="5">
        <v>0</v>
      </c>
      <c r="AN4" s="5">
        <v>26</v>
      </c>
      <c r="AO4" s="10">
        <v>3.48</v>
      </c>
      <c r="AP4" s="5">
        <v>5</v>
      </c>
      <c r="AQ4" s="13">
        <v>28</v>
      </c>
      <c r="AR4" s="13" t="s">
        <v>1</v>
      </c>
      <c r="AS4" s="14">
        <v>0</v>
      </c>
      <c r="AT4" s="14">
        <v>10</v>
      </c>
      <c r="AU4" s="14">
        <v>10</v>
      </c>
      <c r="AV4" s="14">
        <v>2</v>
      </c>
      <c r="AW4" s="14">
        <v>6</v>
      </c>
      <c r="AX4" s="14">
        <v>8</v>
      </c>
      <c r="AY4" s="14">
        <v>16</v>
      </c>
      <c r="AZ4" s="14">
        <v>10</v>
      </c>
      <c r="BA4" s="14">
        <v>0</v>
      </c>
      <c r="BB4" s="14">
        <v>18</v>
      </c>
      <c r="BC4" s="15">
        <v>2.31</v>
      </c>
      <c r="BD4" s="14">
        <v>3</v>
      </c>
      <c r="BE4" s="9">
        <v>32</v>
      </c>
      <c r="BF4" s="9" t="s">
        <v>1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10</v>
      </c>
      <c r="BP4" s="5">
        <v>0</v>
      </c>
      <c r="BQ4" s="5">
        <v>0</v>
      </c>
      <c r="BR4" s="5">
        <v>0</v>
      </c>
    </row>
    <row r="5" spans="1:70" x14ac:dyDescent="0.2">
      <c r="A5" s="9">
        <v>2</v>
      </c>
      <c r="B5" s="9" t="s">
        <v>0</v>
      </c>
      <c r="C5" s="20">
        <v>8</v>
      </c>
      <c r="D5" s="20">
        <v>20</v>
      </c>
      <c r="E5" s="20">
        <v>28</v>
      </c>
      <c r="F5" s="20">
        <v>2</v>
      </c>
      <c r="G5" s="20">
        <v>0</v>
      </c>
      <c r="H5" s="20">
        <v>2</v>
      </c>
      <c r="I5" s="20">
        <v>0</v>
      </c>
      <c r="J5" s="20">
        <v>0</v>
      </c>
      <c r="K5" s="20">
        <v>0</v>
      </c>
      <c r="L5" s="20">
        <v>32</v>
      </c>
      <c r="M5" s="10">
        <v>3.36</v>
      </c>
      <c r="N5" s="20">
        <v>4</v>
      </c>
      <c r="O5" s="13">
        <v>10</v>
      </c>
      <c r="P5" s="13" t="s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10</v>
      </c>
      <c r="Z5" s="14">
        <v>0</v>
      </c>
      <c r="AA5" s="15">
        <v>0</v>
      </c>
      <c r="AB5" s="14">
        <v>0</v>
      </c>
      <c r="AC5" s="9">
        <v>16</v>
      </c>
      <c r="AD5" s="9" t="s">
        <v>0</v>
      </c>
      <c r="AE5" s="5">
        <v>10</v>
      </c>
      <c r="AF5" s="5">
        <v>4</v>
      </c>
      <c r="AG5" s="5">
        <v>14</v>
      </c>
      <c r="AH5" s="5">
        <v>5</v>
      </c>
      <c r="AI5" s="5">
        <v>0</v>
      </c>
      <c r="AJ5" s="5">
        <v>5</v>
      </c>
      <c r="AK5" s="5">
        <v>2</v>
      </c>
      <c r="AL5" s="5">
        <v>2</v>
      </c>
      <c r="AM5" s="5">
        <v>0</v>
      </c>
      <c r="AN5" s="5">
        <v>19</v>
      </c>
      <c r="AO5" s="10">
        <v>3</v>
      </c>
      <c r="AP5" s="5">
        <v>5</v>
      </c>
      <c r="AQ5" s="13">
        <v>29</v>
      </c>
      <c r="AR5" s="13" t="s">
        <v>0</v>
      </c>
      <c r="AS5" s="14">
        <v>0</v>
      </c>
      <c r="AT5" s="14">
        <v>0</v>
      </c>
      <c r="AU5" s="14">
        <v>0</v>
      </c>
      <c r="AV5" s="14">
        <v>1</v>
      </c>
      <c r="AW5" s="14">
        <v>7</v>
      </c>
      <c r="AX5" s="14">
        <v>8</v>
      </c>
      <c r="AY5" s="14">
        <v>7</v>
      </c>
      <c r="AZ5" s="14">
        <v>0</v>
      </c>
      <c r="BA5" s="14">
        <v>3</v>
      </c>
      <c r="BB5" s="14">
        <v>8</v>
      </c>
      <c r="BC5" s="15">
        <v>1.28</v>
      </c>
      <c r="BD5" s="14">
        <v>2</v>
      </c>
      <c r="BE5" s="9">
        <v>33</v>
      </c>
      <c r="BF5" s="9" t="s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10</v>
      </c>
      <c r="BP5" s="5">
        <v>0</v>
      </c>
      <c r="BQ5" s="5">
        <v>0</v>
      </c>
      <c r="BR5" s="5">
        <v>0</v>
      </c>
    </row>
    <row r="6" spans="1:70" x14ac:dyDescent="0.2">
      <c r="A6" s="9">
        <v>2</v>
      </c>
      <c r="B6" s="9" t="s">
        <v>1</v>
      </c>
      <c r="C6" s="20">
        <v>15</v>
      </c>
      <c r="D6" s="20">
        <v>20</v>
      </c>
      <c r="E6" s="20">
        <v>35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35</v>
      </c>
      <c r="M6" s="10">
        <v>3.86</v>
      </c>
      <c r="N6" s="20">
        <v>4</v>
      </c>
      <c r="O6" s="13">
        <v>10</v>
      </c>
      <c r="P6" s="13" t="s">
        <v>1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10</v>
      </c>
      <c r="Z6" s="14">
        <v>0</v>
      </c>
      <c r="AA6" s="15">
        <v>0</v>
      </c>
      <c r="AB6" s="14">
        <v>0</v>
      </c>
      <c r="AC6" s="9">
        <v>16</v>
      </c>
      <c r="AD6" s="9" t="s">
        <v>1</v>
      </c>
      <c r="AE6" s="5">
        <v>7</v>
      </c>
      <c r="AF6" s="5">
        <v>10</v>
      </c>
      <c r="AG6" s="5">
        <v>17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17</v>
      </c>
      <c r="AO6" s="10">
        <v>2.5</v>
      </c>
      <c r="AP6" s="5">
        <v>3</v>
      </c>
      <c r="AQ6" s="13">
        <v>29</v>
      </c>
      <c r="AR6" s="13" t="s">
        <v>1</v>
      </c>
      <c r="AS6" s="14">
        <v>0</v>
      </c>
      <c r="AT6" s="14">
        <v>1</v>
      </c>
      <c r="AU6" s="14">
        <v>1</v>
      </c>
      <c r="AV6" s="14">
        <v>4</v>
      </c>
      <c r="AW6" s="14">
        <v>4</v>
      </c>
      <c r="AX6" s="14">
        <v>8</v>
      </c>
      <c r="AY6" s="14">
        <v>5</v>
      </c>
      <c r="AZ6" s="14">
        <v>1</v>
      </c>
      <c r="BA6" s="14">
        <v>2</v>
      </c>
      <c r="BB6" s="14">
        <v>11</v>
      </c>
      <c r="BC6" s="15">
        <v>3.24</v>
      </c>
      <c r="BD6" s="14">
        <v>4</v>
      </c>
      <c r="BE6" s="9">
        <v>33</v>
      </c>
      <c r="BF6" s="9" t="s">
        <v>1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10</v>
      </c>
      <c r="BP6" s="5">
        <v>0</v>
      </c>
      <c r="BQ6" s="5">
        <v>0</v>
      </c>
      <c r="BR6" s="5">
        <v>0</v>
      </c>
    </row>
    <row r="7" spans="1:70" x14ac:dyDescent="0.2">
      <c r="A7" s="9">
        <v>3</v>
      </c>
      <c r="B7" s="9" t="s">
        <v>0</v>
      </c>
      <c r="C7" s="20">
        <v>10</v>
      </c>
      <c r="D7" s="20">
        <v>19</v>
      </c>
      <c r="E7" s="20">
        <v>29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29</v>
      </c>
      <c r="M7" s="10">
        <v>3.55</v>
      </c>
      <c r="N7" s="20">
        <v>4</v>
      </c>
      <c r="O7" s="13">
        <v>11</v>
      </c>
      <c r="P7" s="13" t="s">
        <v>0</v>
      </c>
      <c r="Q7" s="14">
        <v>0</v>
      </c>
      <c r="R7" s="14">
        <v>0</v>
      </c>
      <c r="S7" s="14">
        <v>0</v>
      </c>
      <c r="T7" s="14">
        <v>0</v>
      </c>
      <c r="U7" s="14">
        <v>3</v>
      </c>
      <c r="V7" s="14">
        <v>3</v>
      </c>
      <c r="W7" s="14">
        <v>3</v>
      </c>
      <c r="X7" s="14">
        <v>0</v>
      </c>
      <c r="Y7" s="14">
        <v>7</v>
      </c>
      <c r="Z7" s="14">
        <v>3</v>
      </c>
      <c r="AA7" s="15">
        <v>1</v>
      </c>
      <c r="AB7" s="14">
        <v>1</v>
      </c>
      <c r="AC7" s="9">
        <v>17</v>
      </c>
      <c r="AD7" s="9" t="s">
        <v>0</v>
      </c>
      <c r="AE7" s="5">
        <v>6</v>
      </c>
      <c r="AF7" s="5">
        <v>12</v>
      </c>
      <c r="AG7" s="5">
        <v>18</v>
      </c>
      <c r="AH7" s="5">
        <v>3</v>
      </c>
      <c r="AI7" s="5">
        <v>4</v>
      </c>
      <c r="AJ7" s="5">
        <v>7</v>
      </c>
      <c r="AK7" s="5">
        <v>15</v>
      </c>
      <c r="AL7" s="5">
        <v>10</v>
      </c>
      <c r="AM7" s="5">
        <v>0</v>
      </c>
      <c r="AN7" s="5">
        <v>25</v>
      </c>
      <c r="AO7" s="10">
        <v>4.0999999999999996</v>
      </c>
      <c r="AP7" s="5">
        <v>7</v>
      </c>
      <c r="AQ7" s="13">
        <v>30</v>
      </c>
      <c r="AR7" s="13" t="s">
        <v>0</v>
      </c>
      <c r="AS7" s="14">
        <v>7</v>
      </c>
      <c r="AT7" s="14">
        <v>7</v>
      </c>
      <c r="AU7" s="14">
        <v>14</v>
      </c>
      <c r="AV7" s="14">
        <v>2</v>
      </c>
      <c r="AW7" s="14">
        <v>2</v>
      </c>
      <c r="AX7" s="14">
        <v>4</v>
      </c>
      <c r="AY7" s="14">
        <v>6</v>
      </c>
      <c r="AZ7" s="14">
        <v>4</v>
      </c>
      <c r="BA7" s="14">
        <v>1</v>
      </c>
      <c r="BB7" s="14">
        <v>18</v>
      </c>
      <c r="BC7" s="15">
        <v>3.95</v>
      </c>
      <c r="BD7" s="14">
        <v>5</v>
      </c>
      <c r="BE7" s="9">
        <v>34</v>
      </c>
      <c r="BF7" s="9" t="s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10</v>
      </c>
      <c r="BP7" s="5">
        <v>0</v>
      </c>
      <c r="BQ7" s="5">
        <v>0</v>
      </c>
      <c r="BR7" s="5">
        <v>0</v>
      </c>
    </row>
    <row r="8" spans="1:70" x14ac:dyDescent="0.2">
      <c r="A8" s="9">
        <v>3</v>
      </c>
      <c r="B8" s="9" t="s">
        <v>1</v>
      </c>
      <c r="C8" s="20">
        <v>10</v>
      </c>
      <c r="D8" s="20">
        <v>10</v>
      </c>
      <c r="E8" s="20">
        <v>20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20</v>
      </c>
      <c r="M8" s="10">
        <v>2</v>
      </c>
      <c r="N8" s="20">
        <v>2</v>
      </c>
      <c r="O8" s="13">
        <v>11</v>
      </c>
      <c r="P8" s="13" t="s">
        <v>1</v>
      </c>
      <c r="Q8" s="14">
        <v>0</v>
      </c>
      <c r="R8" s="14">
        <v>0</v>
      </c>
      <c r="S8" s="14">
        <v>0</v>
      </c>
      <c r="T8" s="14">
        <v>0</v>
      </c>
      <c r="U8" s="14">
        <v>2</v>
      </c>
      <c r="V8" s="14">
        <v>2</v>
      </c>
      <c r="W8" s="14">
        <v>2</v>
      </c>
      <c r="X8" s="14">
        <v>0</v>
      </c>
      <c r="Y8" s="14">
        <v>8</v>
      </c>
      <c r="Z8" s="14">
        <v>2</v>
      </c>
      <c r="AA8" s="15">
        <v>1</v>
      </c>
      <c r="AB8" s="14">
        <v>1</v>
      </c>
      <c r="AC8" s="9">
        <v>17</v>
      </c>
      <c r="AD8" s="9" t="s">
        <v>1</v>
      </c>
      <c r="AE8" s="5">
        <v>9</v>
      </c>
      <c r="AF8" s="5">
        <v>14</v>
      </c>
      <c r="AG8" s="5">
        <v>23</v>
      </c>
      <c r="AH8" s="5">
        <v>0</v>
      </c>
      <c r="AI8" s="5">
        <v>3</v>
      </c>
      <c r="AJ8" s="5">
        <v>3</v>
      </c>
      <c r="AK8" s="5">
        <v>4</v>
      </c>
      <c r="AL8" s="5">
        <v>1</v>
      </c>
      <c r="AM8" s="5">
        <v>0</v>
      </c>
      <c r="AN8" s="5">
        <v>26</v>
      </c>
      <c r="AO8" s="10">
        <v>4.5999999999999996</v>
      </c>
      <c r="AP8" s="5">
        <v>6</v>
      </c>
      <c r="AQ8" s="13">
        <v>30</v>
      </c>
      <c r="AR8" s="13" t="s">
        <v>1</v>
      </c>
      <c r="AS8" s="14">
        <v>0</v>
      </c>
      <c r="AT8" s="14">
        <v>6</v>
      </c>
      <c r="AU8" s="14">
        <v>6</v>
      </c>
      <c r="AV8" s="14">
        <v>1</v>
      </c>
      <c r="AW8" s="14">
        <v>5</v>
      </c>
      <c r="AX8" s="14">
        <v>6</v>
      </c>
      <c r="AY8" s="14">
        <v>11</v>
      </c>
      <c r="AZ8" s="14">
        <v>6</v>
      </c>
      <c r="BA8" s="14">
        <v>2</v>
      </c>
      <c r="BB8" s="14">
        <v>12</v>
      </c>
      <c r="BC8" s="15">
        <v>2.3199999999999998</v>
      </c>
      <c r="BD8" s="14">
        <v>3</v>
      </c>
      <c r="BE8" s="9">
        <v>34</v>
      </c>
      <c r="BF8" s="9" t="s">
        <v>1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10</v>
      </c>
      <c r="BP8" s="5">
        <v>0</v>
      </c>
      <c r="BQ8" s="5">
        <v>0</v>
      </c>
      <c r="BR8" s="5">
        <v>0</v>
      </c>
    </row>
    <row r="9" spans="1:70" x14ac:dyDescent="0.2">
      <c r="A9" s="9">
        <v>4</v>
      </c>
      <c r="B9" s="9" t="s">
        <v>0</v>
      </c>
      <c r="C9" s="20">
        <v>13</v>
      </c>
      <c r="D9" s="20">
        <v>19</v>
      </c>
      <c r="E9" s="20">
        <v>32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32</v>
      </c>
      <c r="M9" s="10">
        <v>4.2300000000000004</v>
      </c>
      <c r="N9" s="20">
        <v>5</v>
      </c>
      <c r="O9" s="13">
        <v>12</v>
      </c>
      <c r="P9" s="13" t="s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10</v>
      </c>
      <c r="Z9" s="14">
        <v>0</v>
      </c>
      <c r="AA9" s="15">
        <v>0</v>
      </c>
      <c r="AB9" s="14">
        <v>0</v>
      </c>
      <c r="AC9" s="9">
        <v>18</v>
      </c>
      <c r="AD9" s="9" t="s">
        <v>0</v>
      </c>
      <c r="AE9" s="5">
        <v>7</v>
      </c>
      <c r="AF9" s="5">
        <v>12</v>
      </c>
      <c r="AG9" s="5">
        <v>19</v>
      </c>
      <c r="AH9" s="5">
        <v>0</v>
      </c>
      <c r="AI9" s="5">
        <v>0</v>
      </c>
      <c r="AJ9" s="5">
        <v>0</v>
      </c>
      <c r="AK9" s="5">
        <v>2</v>
      </c>
      <c r="AL9" s="5">
        <v>2</v>
      </c>
      <c r="AM9" s="5">
        <v>0</v>
      </c>
      <c r="AN9" s="5">
        <v>19</v>
      </c>
      <c r="AO9" s="10">
        <v>2.4</v>
      </c>
      <c r="AP9" s="5">
        <v>3</v>
      </c>
      <c r="AQ9" s="13">
        <v>31</v>
      </c>
      <c r="AR9" s="13" t="s">
        <v>0</v>
      </c>
      <c r="AS9" s="14">
        <v>0</v>
      </c>
      <c r="AT9" s="14">
        <v>5</v>
      </c>
      <c r="AU9" s="14">
        <v>5</v>
      </c>
      <c r="AV9" s="14">
        <v>5</v>
      </c>
      <c r="AW9" s="14">
        <v>10</v>
      </c>
      <c r="AX9" s="14">
        <v>15</v>
      </c>
      <c r="AY9" s="14">
        <v>10</v>
      </c>
      <c r="AZ9" s="14">
        <v>0</v>
      </c>
      <c r="BA9" s="14">
        <v>0</v>
      </c>
      <c r="BB9" s="14">
        <v>20</v>
      </c>
      <c r="BC9" s="15">
        <v>2.94</v>
      </c>
      <c r="BD9" s="14">
        <v>5</v>
      </c>
      <c r="BE9" s="9"/>
      <c r="BF9" s="9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</row>
    <row r="10" spans="1:70" x14ac:dyDescent="0.2">
      <c r="A10" s="9">
        <v>4</v>
      </c>
      <c r="B10" s="9" t="s">
        <v>0</v>
      </c>
      <c r="C10" s="20">
        <v>5</v>
      </c>
      <c r="D10" s="20">
        <v>18</v>
      </c>
      <c r="E10" s="20">
        <v>23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23</v>
      </c>
      <c r="M10" s="10">
        <v>3.92</v>
      </c>
      <c r="N10" s="20">
        <v>5</v>
      </c>
      <c r="O10" s="13">
        <v>12</v>
      </c>
      <c r="P10" s="13" t="s">
        <v>1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10</v>
      </c>
      <c r="Z10" s="14">
        <v>0</v>
      </c>
      <c r="AA10" s="15">
        <v>0</v>
      </c>
      <c r="AB10" s="14">
        <v>0</v>
      </c>
      <c r="AC10" s="9">
        <v>18</v>
      </c>
      <c r="AD10" s="9" t="s">
        <v>1</v>
      </c>
      <c r="AE10" s="5">
        <v>10</v>
      </c>
      <c r="AF10" s="5">
        <v>14</v>
      </c>
      <c r="AG10" s="5">
        <v>24</v>
      </c>
      <c r="AH10" s="5">
        <v>0</v>
      </c>
      <c r="AI10" s="5">
        <v>3</v>
      </c>
      <c r="AJ10" s="5">
        <v>3</v>
      </c>
      <c r="AK10" s="5">
        <v>3</v>
      </c>
      <c r="AL10" s="5">
        <v>0</v>
      </c>
      <c r="AM10" s="5">
        <v>0</v>
      </c>
      <c r="AN10" s="5">
        <v>27</v>
      </c>
      <c r="AO10" s="10">
        <v>4</v>
      </c>
      <c r="AP10" s="5">
        <v>5</v>
      </c>
      <c r="AQ10" s="13">
        <v>31</v>
      </c>
      <c r="AR10" s="13" t="s">
        <v>1</v>
      </c>
      <c r="AS10" s="14">
        <v>0</v>
      </c>
      <c r="AT10" s="14">
        <v>0</v>
      </c>
      <c r="AU10" s="14">
        <v>0</v>
      </c>
      <c r="AV10" s="14">
        <v>4</v>
      </c>
      <c r="AW10" s="14">
        <v>8</v>
      </c>
      <c r="AX10" s="14">
        <v>12</v>
      </c>
      <c r="AY10" s="14">
        <v>8</v>
      </c>
      <c r="AZ10" s="14">
        <v>0</v>
      </c>
      <c r="BA10" s="14">
        <v>1</v>
      </c>
      <c r="BB10" s="14">
        <v>12</v>
      </c>
      <c r="BC10" s="15">
        <v>1.95</v>
      </c>
      <c r="BD10" s="14">
        <v>3</v>
      </c>
      <c r="BE10" s="9"/>
      <c r="BF10" s="9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</row>
    <row r="11" spans="1:70" x14ac:dyDescent="0.2">
      <c r="A11" s="9">
        <v>5</v>
      </c>
      <c r="B11" s="9" t="s">
        <v>0</v>
      </c>
      <c r="C11" s="20">
        <v>10</v>
      </c>
      <c r="D11" s="20">
        <v>13</v>
      </c>
      <c r="E11" s="20">
        <v>23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23</v>
      </c>
      <c r="M11" s="10">
        <v>3.21</v>
      </c>
      <c r="N11" s="20">
        <v>4</v>
      </c>
      <c r="O11" s="13">
        <v>13</v>
      </c>
      <c r="P11" s="13" t="s">
        <v>0</v>
      </c>
      <c r="Q11" s="14">
        <v>0</v>
      </c>
      <c r="R11" s="14">
        <v>0</v>
      </c>
      <c r="S11" s="14">
        <v>0</v>
      </c>
      <c r="T11" s="14">
        <v>0</v>
      </c>
      <c r="U11" s="14">
        <v>9</v>
      </c>
      <c r="V11" s="14">
        <v>9</v>
      </c>
      <c r="W11" s="14">
        <v>9</v>
      </c>
      <c r="X11" s="14">
        <v>0</v>
      </c>
      <c r="Y11" s="14">
        <v>1</v>
      </c>
      <c r="Z11" s="14">
        <v>9</v>
      </c>
      <c r="AA11" s="15">
        <v>1</v>
      </c>
      <c r="AB11" s="14">
        <v>1</v>
      </c>
      <c r="AC11" s="9">
        <v>19</v>
      </c>
      <c r="AD11" s="9" t="s">
        <v>0</v>
      </c>
      <c r="AE11" s="5">
        <v>10</v>
      </c>
      <c r="AF11" s="5">
        <v>17</v>
      </c>
      <c r="AG11" s="5">
        <v>27</v>
      </c>
      <c r="AH11" s="5">
        <v>0</v>
      </c>
      <c r="AI11" s="5">
        <v>5</v>
      </c>
      <c r="AJ11" s="5">
        <v>5</v>
      </c>
      <c r="AK11" s="5">
        <v>5</v>
      </c>
      <c r="AL11" s="5">
        <v>0</v>
      </c>
      <c r="AM11" s="5">
        <v>0</v>
      </c>
      <c r="AN11" s="5">
        <v>32</v>
      </c>
      <c r="AO11" s="10">
        <v>4.5</v>
      </c>
      <c r="AP11" s="5">
        <v>5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2"/>
      <c r="BD11" s="13"/>
      <c r="BE11" s="9"/>
      <c r="BF11" s="9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</row>
    <row r="12" spans="1:70" x14ac:dyDescent="0.2">
      <c r="A12" s="9">
        <v>5</v>
      </c>
      <c r="B12" s="9" t="s">
        <v>1</v>
      </c>
      <c r="C12" s="20">
        <v>12</v>
      </c>
      <c r="D12" s="20">
        <v>15</v>
      </c>
      <c r="E12" s="20">
        <v>27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27</v>
      </c>
      <c r="M12" s="10">
        <v>3.78</v>
      </c>
      <c r="N12" s="20">
        <v>5</v>
      </c>
      <c r="O12" s="13">
        <v>13</v>
      </c>
      <c r="P12" s="13" t="s">
        <v>1</v>
      </c>
      <c r="Q12" s="14">
        <v>0</v>
      </c>
      <c r="R12" s="14">
        <v>0</v>
      </c>
      <c r="S12" s="14">
        <v>0</v>
      </c>
      <c r="T12" s="14">
        <v>0</v>
      </c>
      <c r="U12" s="14">
        <v>1</v>
      </c>
      <c r="V12" s="14">
        <v>1</v>
      </c>
      <c r="W12" s="14">
        <v>1</v>
      </c>
      <c r="X12" s="14">
        <v>0</v>
      </c>
      <c r="Y12" s="14">
        <v>9</v>
      </c>
      <c r="Z12" s="14">
        <v>1</v>
      </c>
      <c r="AA12" s="15">
        <v>1</v>
      </c>
      <c r="AB12" s="14">
        <v>1</v>
      </c>
      <c r="AC12" s="9">
        <v>19</v>
      </c>
      <c r="AD12" s="9" t="s">
        <v>1</v>
      </c>
      <c r="AE12" s="5">
        <v>10</v>
      </c>
      <c r="AF12" s="5">
        <v>11</v>
      </c>
      <c r="AG12" s="5">
        <v>21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21</v>
      </c>
      <c r="AO12" s="10">
        <v>3.2</v>
      </c>
      <c r="AP12" s="5">
        <v>5</v>
      </c>
      <c r="AQ12" s="13"/>
      <c r="AR12" s="13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5"/>
      <c r="BD12" s="14"/>
      <c r="BE12" s="9"/>
      <c r="BF12" s="9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</row>
    <row r="13" spans="1:70" x14ac:dyDescent="0.2">
      <c r="A13" s="9">
        <v>6</v>
      </c>
      <c r="B13" s="9" t="s">
        <v>0</v>
      </c>
      <c r="C13" s="20">
        <v>10</v>
      </c>
      <c r="D13" s="20">
        <v>13</v>
      </c>
      <c r="E13" s="20">
        <v>23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23</v>
      </c>
      <c r="M13" s="10">
        <v>2.86</v>
      </c>
      <c r="N13" s="20">
        <v>3</v>
      </c>
      <c r="O13" s="13">
        <v>14</v>
      </c>
      <c r="P13" s="13" t="s">
        <v>0</v>
      </c>
      <c r="Q13" s="14">
        <v>0</v>
      </c>
      <c r="R13" s="14">
        <v>0</v>
      </c>
      <c r="S13" s="14">
        <v>0</v>
      </c>
      <c r="T13" s="14">
        <v>3</v>
      </c>
      <c r="U13" s="14">
        <v>1</v>
      </c>
      <c r="V13" s="14">
        <v>4</v>
      </c>
      <c r="W13" s="14">
        <v>4</v>
      </c>
      <c r="X13" s="14">
        <v>0</v>
      </c>
      <c r="Y13" s="14">
        <v>6</v>
      </c>
      <c r="Z13" s="14">
        <v>4</v>
      </c>
      <c r="AA13" s="15">
        <v>1.6</v>
      </c>
      <c r="AB13" s="14">
        <v>2</v>
      </c>
      <c r="AC13" s="9">
        <v>20</v>
      </c>
      <c r="AD13" s="9" t="s">
        <v>0</v>
      </c>
      <c r="AE13" s="5">
        <v>7</v>
      </c>
      <c r="AF13" s="5">
        <v>13</v>
      </c>
      <c r="AG13" s="5">
        <v>20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20</v>
      </c>
      <c r="AO13" s="10">
        <v>2.9</v>
      </c>
      <c r="AP13" s="5">
        <v>4</v>
      </c>
      <c r="AQ13" s="13"/>
      <c r="AR13" s="13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5"/>
      <c r="BD13" s="14"/>
      <c r="BE13" s="9"/>
      <c r="BF13" s="9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</row>
    <row r="14" spans="1:70" x14ac:dyDescent="0.2">
      <c r="A14" s="9">
        <v>6</v>
      </c>
      <c r="B14" s="9" t="s">
        <v>1</v>
      </c>
      <c r="C14" s="20">
        <v>10</v>
      </c>
      <c r="D14" s="20">
        <v>15</v>
      </c>
      <c r="E14" s="20">
        <v>25</v>
      </c>
      <c r="F14" s="20">
        <v>1</v>
      </c>
      <c r="G14" s="20">
        <v>0</v>
      </c>
      <c r="H14" s="20">
        <v>1</v>
      </c>
      <c r="I14" s="20">
        <v>0</v>
      </c>
      <c r="J14" s="20">
        <v>0</v>
      </c>
      <c r="K14" s="20">
        <v>0</v>
      </c>
      <c r="L14" s="20">
        <v>26</v>
      </c>
      <c r="M14" s="10">
        <v>3.48</v>
      </c>
      <c r="N14" s="20">
        <v>5</v>
      </c>
      <c r="O14" s="13">
        <v>14</v>
      </c>
      <c r="P14" s="13" t="s">
        <v>1</v>
      </c>
      <c r="Q14" s="14">
        <v>0</v>
      </c>
      <c r="R14" s="14">
        <v>0</v>
      </c>
      <c r="S14" s="14">
        <v>0</v>
      </c>
      <c r="T14" s="14">
        <v>0</v>
      </c>
      <c r="U14" s="14">
        <v>5</v>
      </c>
      <c r="V14" s="14">
        <v>5</v>
      </c>
      <c r="W14" s="14">
        <v>5</v>
      </c>
      <c r="X14" s="14">
        <v>0</v>
      </c>
      <c r="Y14" s="14">
        <v>5</v>
      </c>
      <c r="Z14" s="14">
        <v>5</v>
      </c>
      <c r="AA14" s="15">
        <v>1</v>
      </c>
      <c r="AB14" s="14">
        <v>1</v>
      </c>
      <c r="AC14" s="9">
        <v>20</v>
      </c>
      <c r="AD14" s="9" t="s">
        <v>1</v>
      </c>
      <c r="AE14" s="5">
        <v>10</v>
      </c>
      <c r="AF14" s="5">
        <v>3</v>
      </c>
      <c r="AG14" s="5">
        <v>13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13</v>
      </c>
      <c r="AO14" s="10">
        <v>1.6</v>
      </c>
      <c r="AP14" s="5">
        <v>2</v>
      </c>
      <c r="AQ14" s="13"/>
      <c r="AR14" s="13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5"/>
      <c r="BD14" s="14"/>
      <c r="BE14" s="9"/>
      <c r="BF14" s="9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</row>
    <row r="15" spans="1:70" x14ac:dyDescent="0.2">
      <c r="A15" s="9">
        <v>7</v>
      </c>
      <c r="B15" s="9" t="s">
        <v>0</v>
      </c>
      <c r="C15" s="20">
        <v>0</v>
      </c>
      <c r="D15" s="20">
        <v>20</v>
      </c>
      <c r="E15" s="20">
        <v>20</v>
      </c>
      <c r="F15" s="20">
        <v>1</v>
      </c>
      <c r="G15" s="20">
        <v>0</v>
      </c>
      <c r="H15" s="20">
        <v>1</v>
      </c>
      <c r="I15" s="20">
        <v>0</v>
      </c>
      <c r="J15" s="20">
        <v>0</v>
      </c>
      <c r="K15" s="20">
        <v>0</v>
      </c>
      <c r="L15" s="20">
        <v>21</v>
      </c>
      <c r="M15" s="10">
        <v>2.88</v>
      </c>
      <c r="N15" s="20">
        <v>4</v>
      </c>
      <c r="AC15" s="9">
        <v>21</v>
      </c>
      <c r="AD15" s="9" t="s">
        <v>0</v>
      </c>
      <c r="AE15" s="5">
        <v>1</v>
      </c>
      <c r="AF15" s="5">
        <v>23</v>
      </c>
      <c r="AG15" s="5">
        <v>24</v>
      </c>
      <c r="AH15" s="5">
        <v>0</v>
      </c>
      <c r="AI15" s="5">
        <v>0</v>
      </c>
      <c r="AJ15" s="5">
        <v>0</v>
      </c>
      <c r="AK15" s="5">
        <v>9</v>
      </c>
      <c r="AL15" s="5">
        <v>9</v>
      </c>
      <c r="AM15" s="5">
        <v>0</v>
      </c>
      <c r="AN15" s="5">
        <v>24</v>
      </c>
      <c r="AO15" s="10">
        <v>2.9</v>
      </c>
      <c r="AP15" s="5">
        <v>4</v>
      </c>
      <c r="AQ15" s="13"/>
      <c r="AR15" s="13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5"/>
      <c r="BD15" s="14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</row>
    <row r="16" spans="1:70" x14ac:dyDescent="0.2">
      <c r="A16" s="9">
        <v>7</v>
      </c>
      <c r="B16" s="9" t="s">
        <v>1</v>
      </c>
      <c r="C16" s="20">
        <v>0</v>
      </c>
      <c r="D16" s="20">
        <v>15</v>
      </c>
      <c r="E16" s="20">
        <v>15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15</v>
      </c>
      <c r="M16" s="10">
        <v>1.99</v>
      </c>
      <c r="N16" s="20">
        <v>3</v>
      </c>
      <c r="AC16" s="9">
        <v>21</v>
      </c>
      <c r="AD16" s="9" t="s">
        <v>1</v>
      </c>
      <c r="AE16" s="5">
        <v>10</v>
      </c>
      <c r="AF16" s="5">
        <v>18</v>
      </c>
      <c r="AG16" s="5">
        <v>28</v>
      </c>
      <c r="AH16" s="5">
        <v>0</v>
      </c>
      <c r="AI16" s="5">
        <v>7</v>
      </c>
      <c r="AJ16" s="5">
        <v>7</v>
      </c>
      <c r="AK16" s="5">
        <v>7</v>
      </c>
      <c r="AL16" s="5">
        <v>0</v>
      </c>
      <c r="AM16" s="5">
        <v>0</v>
      </c>
      <c r="AN16" s="5">
        <v>35</v>
      </c>
      <c r="AO16" s="10">
        <v>3.9</v>
      </c>
      <c r="AP16" s="5">
        <v>4</v>
      </c>
      <c r="AQ16" s="13"/>
      <c r="AR16" s="13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5"/>
      <c r="BD16" s="14"/>
      <c r="BE16" s="9"/>
      <c r="BF16" s="9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</row>
    <row r="17" spans="1:70" x14ac:dyDescent="0.2">
      <c r="A17" s="9">
        <v>8</v>
      </c>
      <c r="B17" s="9" t="s">
        <v>0</v>
      </c>
      <c r="C17" s="20">
        <v>10</v>
      </c>
      <c r="D17" s="20">
        <v>20</v>
      </c>
      <c r="E17" s="20">
        <v>30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30</v>
      </c>
      <c r="M17" s="10">
        <v>3.49</v>
      </c>
      <c r="N17" s="20">
        <v>4</v>
      </c>
      <c r="O17" s="13"/>
      <c r="P17" s="1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9">
        <v>22</v>
      </c>
      <c r="AD17" s="9" t="s">
        <v>0</v>
      </c>
      <c r="AE17" s="5">
        <v>7</v>
      </c>
      <c r="AF17" s="5">
        <v>18</v>
      </c>
      <c r="AG17" s="5">
        <v>25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25</v>
      </c>
      <c r="AO17" s="10">
        <v>3.9</v>
      </c>
      <c r="AP17" s="5">
        <v>4</v>
      </c>
      <c r="AQ17" s="13"/>
      <c r="AR17" s="13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5"/>
      <c r="BD17" s="14"/>
      <c r="BE17" s="9"/>
      <c r="BF17" s="9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</row>
    <row r="18" spans="1:70" x14ac:dyDescent="0.2">
      <c r="A18" s="9">
        <v>8</v>
      </c>
      <c r="B18" s="9" t="s">
        <v>1</v>
      </c>
      <c r="C18" s="20">
        <v>10</v>
      </c>
      <c r="D18" s="20">
        <v>9</v>
      </c>
      <c r="E18" s="20">
        <v>19</v>
      </c>
      <c r="F18" s="20">
        <v>1</v>
      </c>
      <c r="G18" s="20">
        <v>6</v>
      </c>
      <c r="H18" s="20">
        <v>7</v>
      </c>
      <c r="I18" s="20">
        <v>8</v>
      </c>
      <c r="J18" s="20">
        <v>2</v>
      </c>
      <c r="K18" s="20">
        <v>0</v>
      </c>
      <c r="L18" s="20">
        <v>26</v>
      </c>
      <c r="M18" s="10">
        <v>3.56</v>
      </c>
      <c r="N18" s="20">
        <v>5</v>
      </c>
      <c r="O18" s="13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9">
        <v>22</v>
      </c>
      <c r="AD18" s="9" t="s">
        <v>1</v>
      </c>
      <c r="AE18" s="5">
        <v>10</v>
      </c>
      <c r="AF18" s="5">
        <v>13</v>
      </c>
      <c r="AG18" s="5">
        <v>23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23</v>
      </c>
      <c r="AO18" s="10">
        <v>4.5999999999999996</v>
      </c>
      <c r="AP18" s="5">
        <v>6</v>
      </c>
      <c r="AQ18" s="13"/>
      <c r="AR18" s="13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5"/>
      <c r="BD18" s="14"/>
      <c r="BE18" s="9"/>
      <c r="BF18" s="9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</row>
    <row r="19" spans="1:70" x14ac:dyDescent="0.2">
      <c r="A19" s="9"/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10"/>
      <c r="N19" s="5"/>
      <c r="O19" s="1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9">
        <v>23</v>
      </c>
      <c r="AD19" s="9" t="s">
        <v>0</v>
      </c>
      <c r="AE19" s="5">
        <v>0</v>
      </c>
      <c r="AF19" s="5">
        <v>10</v>
      </c>
      <c r="AG19" s="5">
        <v>10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10</v>
      </c>
      <c r="AO19" s="10">
        <v>1</v>
      </c>
      <c r="AP19" s="5">
        <v>1</v>
      </c>
      <c r="AQ19" s="13"/>
      <c r="AR19" s="13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5"/>
      <c r="BD19" s="14"/>
      <c r="BE19" s="9"/>
      <c r="BF19" s="9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</row>
    <row r="20" spans="1:70" x14ac:dyDescent="0.2">
      <c r="A20" s="9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10"/>
      <c r="N20" s="5"/>
      <c r="O20" s="13"/>
      <c r="P20" s="13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9">
        <v>23</v>
      </c>
      <c r="AD20" s="9" t="s">
        <v>1</v>
      </c>
      <c r="AE20" s="5">
        <v>10</v>
      </c>
      <c r="AF20" s="5">
        <v>25</v>
      </c>
      <c r="AG20" s="5">
        <v>35</v>
      </c>
      <c r="AH20" s="5">
        <v>1</v>
      </c>
      <c r="AI20" s="5">
        <v>0</v>
      </c>
      <c r="AJ20" s="5">
        <v>1</v>
      </c>
      <c r="AK20" s="5">
        <v>0</v>
      </c>
      <c r="AL20" s="5">
        <v>0</v>
      </c>
      <c r="AM20" s="5">
        <v>0</v>
      </c>
      <c r="AN20" s="5">
        <v>36</v>
      </c>
      <c r="AO20" s="10">
        <v>4</v>
      </c>
      <c r="AP20" s="5">
        <v>5</v>
      </c>
      <c r="AQ20" s="13"/>
      <c r="AR20" s="13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5"/>
      <c r="BD20" s="14"/>
      <c r="BE20" s="9"/>
      <c r="BF20" s="9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</row>
    <row r="21" spans="1:70" x14ac:dyDescent="0.2">
      <c r="A21" s="9"/>
      <c r="B21" s="9"/>
      <c r="C21" s="5"/>
      <c r="D21" s="5"/>
      <c r="E21" s="5"/>
      <c r="F21" s="5"/>
      <c r="G21" s="5"/>
      <c r="H21" s="5"/>
      <c r="I21" s="5"/>
      <c r="J21" s="5"/>
      <c r="K21" s="5"/>
      <c r="L21" s="5"/>
      <c r="M21" s="10"/>
      <c r="N21" s="5"/>
      <c r="O21" s="13"/>
      <c r="P21" s="13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9">
        <v>24</v>
      </c>
      <c r="AD21" s="9" t="s">
        <v>0</v>
      </c>
      <c r="AE21" s="5">
        <v>8</v>
      </c>
      <c r="AF21" s="5">
        <v>10</v>
      </c>
      <c r="AG21" s="5">
        <v>18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18</v>
      </c>
      <c r="AO21" s="10">
        <v>2</v>
      </c>
      <c r="AP21" s="5">
        <v>2</v>
      </c>
      <c r="AQ21" s="13"/>
      <c r="AR21" s="13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5"/>
      <c r="BD21" s="14"/>
      <c r="BE21" s="9"/>
      <c r="BF21" s="9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</row>
    <row r="22" spans="1:70" x14ac:dyDescent="0.2">
      <c r="A22" s="9"/>
      <c r="B22" s="9"/>
      <c r="C22" s="5"/>
      <c r="D22" s="5"/>
      <c r="E22" s="5"/>
      <c r="F22" s="5"/>
      <c r="G22" s="5"/>
      <c r="H22" s="5"/>
      <c r="I22" s="5"/>
      <c r="J22" s="5"/>
      <c r="K22" s="5"/>
      <c r="L22" s="5"/>
      <c r="M22" s="10"/>
      <c r="N22" s="5"/>
      <c r="O22" s="13"/>
      <c r="P22" s="1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9">
        <v>24</v>
      </c>
      <c r="AD22" s="9" t="s">
        <v>1</v>
      </c>
      <c r="AE22" s="5">
        <v>10</v>
      </c>
      <c r="AF22" s="5">
        <v>5</v>
      </c>
      <c r="AG22" s="5">
        <v>15</v>
      </c>
      <c r="AH22" s="5">
        <v>1</v>
      </c>
      <c r="AI22" s="5">
        <v>0</v>
      </c>
      <c r="AJ22" s="5">
        <v>1</v>
      </c>
      <c r="AK22" s="5">
        <v>0</v>
      </c>
      <c r="AL22" s="5">
        <v>0</v>
      </c>
      <c r="AM22" s="5">
        <v>0</v>
      </c>
      <c r="AN22" s="5">
        <v>16</v>
      </c>
      <c r="AO22" s="10">
        <v>2.2000000000000002</v>
      </c>
      <c r="AP22" s="5">
        <v>4</v>
      </c>
      <c r="AQ22" s="13"/>
      <c r="AR22" s="13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5"/>
      <c r="BD22" s="14"/>
      <c r="BE22" s="9"/>
      <c r="BF22" s="9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</row>
    <row r="23" spans="1:70" x14ac:dyDescent="0.2">
      <c r="A23" s="9"/>
      <c r="B23" s="9"/>
      <c r="C23" s="5"/>
      <c r="D23" s="5"/>
      <c r="E23" s="5"/>
      <c r="F23" s="5"/>
      <c r="G23" s="5"/>
      <c r="H23" s="5"/>
      <c r="I23" s="5"/>
      <c r="J23" s="5"/>
      <c r="K23" s="5"/>
      <c r="L23" s="5"/>
      <c r="M23" s="10"/>
      <c r="N23" s="5"/>
      <c r="O23" s="13"/>
      <c r="P23" s="13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9">
        <v>25</v>
      </c>
      <c r="AD23" s="9" t="s">
        <v>0</v>
      </c>
      <c r="AE23" s="5">
        <v>10</v>
      </c>
      <c r="AF23" s="5">
        <v>25</v>
      </c>
      <c r="AG23" s="5">
        <v>35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35</v>
      </c>
      <c r="AO23" s="10">
        <v>4.4000000000000004</v>
      </c>
      <c r="AP23" s="5">
        <v>5</v>
      </c>
      <c r="AQ23" s="13"/>
      <c r="AR23" s="13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5"/>
      <c r="BD23" s="14"/>
      <c r="BE23" s="9"/>
      <c r="BF23" s="9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</row>
    <row r="24" spans="1:70" x14ac:dyDescent="0.2">
      <c r="A24" s="9"/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10"/>
      <c r="N24" s="5"/>
      <c r="O24" s="13"/>
      <c r="P24" s="13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9">
        <v>25</v>
      </c>
      <c r="AD24" s="9" t="s">
        <v>1</v>
      </c>
      <c r="AE24" s="5">
        <v>13</v>
      </c>
      <c r="AF24" s="5">
        <v>28</v>
      </c>
      <c r="AG24" s="5">
        <v>41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41</v>
      </c>
      <c r="AO24" s="10">
        <v>4.8</v>
      </c>
      <c r="AP24" s="5">
        <v>5</v>
      </c>
      <c r="AQ24" s="13"/>
      <c r="AR24" s="13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5"/>
      <c r="BD24" s="14"/>
      <c r="BE24" s="9"/>
      <c r="BF24" s="9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</row>
    <row r="25" spans="1:70" x14ac:dyDescent="0.2">
      <c r="A25" s="9"/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10"/>
      <c r="N25" s="5"/>
      <c r="O25" s="13"/>
      <c r="P25" s="13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9">
        <v>26</v>
      </c>
      <c r="AD25" s="9" t="s">
        <v>0</v>
      </c>
      <c r="AE25" s="5">
        <v>10</v>
      </c>
      <c r="AF25" s="5">
        <v>13</v>
      </c>
      <c r="AG25" s="5">
        <v>23</v>
      </c>
      <c r="AH25" s="5">
        <v>0</v>
      </c>
      <c r="AI25" s="5">
        <v>5</v>
      </c>
      <c r="AJ25" s="5">
        <v>5</v>
      </c>
      <c r="AK25" s="5">
        <v>5</v>
      </c>
      <c r="AL25" s="5">
        <v>0</v>
      </c>
      <c r="AM25" s="5">
        <v>0</v>
      </c>
      <c r="AN25" s="5">
        <v>28</v>
      </c>
      <c r="AO25" s="10">
        <v>4</v>
      </c>
      <c r="AP25" s="5">
        <v>5</v>
      </c>
      <c r="AQ25" s="13"/>
      <c r="AR25" s="13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5"/>
      <c r="BD25" s="14"/>
      <c r="BE25" s="9"/>
      <c r="BF25" s="9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</row>
    <row r="26" spans="1:70" x14ac:dyDescent="0.2">
      <c r="AC26" s="9">
        <v>26</v>
      </c>
      <c r="AD26" s="9" t="s">
        <v>1</v>
      </c>
      <c r="AE26" s="5">
        <v>10</v>
      </c>
      <c r="AF26" s="5">
        <v>2</v>
      </c>
      <c r="AG26" s="5">
        <v>12</v>
      </c>
      <c r="AH26" s="5">
        <v>0</v>
      </c>
      <c r="AI26" s="5">
        <v>2</v>
      </c>
      <c r="AJ26" s="5">
        <v>2</v>
      </c>
      <c r="AK26" s="5">
        <v>4</v>
      </c>
      <c r="AL26" s="5">
        <v>2</v>
      </c>
      <c r="AM26" s="5">
        <v>0</v>
      </c>
      <c r="AN26" s="5">
        <v>14</v>
      </c>
      <c r="AO26" s="10">
        <v>1.8</v>
      </c>
      <c r="AP26" s="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E5C9-9E57-4142-B0F5-344FA388328D}">
  <dimension ref="A1:O67"/>
  <sheetViews>
    <sheetView workbookViewId="0">
      <selection activeCell="M2" sqref="M2:M67"/>
    </sheetView>
  </sheetViews>
  <sheetFormatPr baseColWidth="10" defaultRowHeight="16" x14ac:dyDescent="0.2"/>
  <cols>
    <col min="1" max="15" width="6" customWidth="1"/>
  </cols>
  <sheetData>
    <row r="1" spans="1:15" ht="106" x14ac:dyDescent="0.2">
      <c r="A1" s="7" t="s">
        <v>2</v>
      </c>
      <c r="B1" s="7" t="s">
        <v>3</v>
      </c>
      <c r="C1" s="7" t="s">
        <v>21</v>
      </c>
      <c r="D1" s="7" t="s">
        <v>5</v>
      </c>
      <c r="E1" s="7" t="s">
        <v>6</v>
      </c>
      <c r="F1" s="7" t="s">
        <v>17</v>
      </c>
      <c r="G1" s="7" t="s">
        <v>7</v>
      </c>
      <c r="H1" s="7" t="s">
        <v>8</v>
      </c>
      <c r="I1" s="7" t="s">
        <v>19</v>
      </c>
      <c r="J1" s="7" t="s">
        <v>10</v>
      </c>
      <c r="K1" s="7" t="s">
        <v>20</v>
      </c>
      <c r="L1" s="7" t="s">
        <v>9</v>
      </c>
      <c r="M1" s="7" t="s">
        <v>11</v>
      </c>
      <c r="N1" s="8" t="s">
        <v>12</v>
      </c>
      <c r="O1" s="7" t="s">
        <v>13</v>
      </c>
    </row>
    <row r="2" spans="1:15" x14ac:dyDescent="0.2">
      <c r="A2" s="9">
        <v>1</v>
      </c>
      <c r="B2" s="9" t="s">
        <v>0</v>
      </c>
      <c r="C2" s="5">
        <v>1.3</v>
      </c>
      <c r="D2" s="5">
        <v>9</v>
      </c>
      <c r="E2" s="5">
        <v>19</v>
      </c>
      <c r="F2" s="5">
        <v>28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28</v>
      </c>
      <c r="N2" s="10">
        <v>3.35</v>
      </c>
      <c r="O2" s="5">
        <v>4</v>
      </c>
    </row>
    <row r="3" spans="1:15" x14ac:dyDescent="0.2">
      <c r="A3" s="9">
        <v>1</v>
      </c>
      <c r="B3" s="9" t="s">
        <v>1</v>
      </c>
      <c r="C3" s="5">
        <f>C2</f>
        <v>1.3</v>
      </c>
      <c r="D3" s="5">
        <v>10</v>
      </c>
      <c r="E3" s="5">
        <v>22</v>
      </c>
      <c r="F3" s="5">
        <v>32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32</v>
      </c>
      <c r="N3" s="10">
        <v>3.74</v>
      </c>
      <c r="O3" s="5">
        <v>4</v>
      </c>
    </row>
    <row r="4" spans="1:15" x14ac:dyDescent="0.2">
      <c r="A4" s="9">
        <v>2</v>
      </c>
      <c r="B4" s="9" t="s">
        <v>0</v>
      </c>
      <c r="C4" s="5">
        <v>1.1000000000000001</v>
      </c>
      <c r="D4" s="5">
        <v>8</v>
      </c>
      <c r="E4" s="5">
        <v>20</v>
      </c>
      <c r="F4" s="5">
        <v>28</v>
      </c>
      <c r="G4" s="5">
        <v>2</v>
      </c>
      <c r="H4" s="5">
        <v>0</v>
      </c>
      <c r="I4" s="5">
        <v>2</v>
      </c>
      <c r="J4" s="5">
        <v>0</v>
      </c>
      <c r="K4" s="5">
        <v>0</v>
      </c>
      <c r="L4" s="5">
        <v>0</v>
      </c>
      <c r="M4" s="5">
        <v>32</v>
      </c>
      <c r="N4" s="10">
        <v>3.36</v>
      </c>
      <c r="O4" s="5">
        <v>4</v>
      </c>
    </row>
    <row r="5" spans="1:15" x14ac:dyDescent="0.2">
      <c r="A5" s="9">
        <v>2</v>
      </c>
      <c r="B5" s="9" t="s">
        <v>1</v>
      </c>
      <c r="C5" s="5">
        <f>C4</f>
        <v>1.1000000000000001</v>
      </c>
      <c r="D5" s="5">
        <v>15</v>
      </c>
      <c r="E5" s="5">
        <v>20</v>
      </c>
      <c r="F5" s="5">
        <v>35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35</v>
      </c>
      <c r="N5" s="10">
        <v>3.86</v>
      </c>
      <c r="O5" s="5">
        <v>4</v>
      </c>
    </row>
    <row r="6" spans="1:15" x14ac:dyDescent="0.2">
      <c r="A6" s="9">
        <v>3</v>
      </c>
      <c r="B6" s="9" t="s">
        <v>0</v>
      </c>
      <c r="C6" s="5">
        <v>1.4</v>
      </c>
      <c r="D6" s="5">
        <v>10</v>
      </c>
      <c r="E6" s="5">
        <v>19</v>
      </c>
      <c r="F6" s="5">
        <v>29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29</v>
      </c>
      <c r="N6" s="10">
        <v>3.55</v>
      </c>
      <c r="O6" s="5">
        <v>4</v>
      </c>
    </row>
    <row r="7" spans="1:15" x14ac:dyDescent="0.2">
      <c r="A7" s="9">
        <v>3</v>
      </c>
      <c r="B7" s="9" t="s">
        <v>1</v>
      </c>
      <c r="C7" s="5">
        <f>C6</f>
        <v>1.4</v>
      </c>
      <c r="D7" s="5">
        <v>10</v>
      </c>
      <c r="E7" s="5">
        <v>10</v>
      </c>
      <c r="F7" s="5">
        <v>20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20</v>
      </c>
      <c r="N7" s="10">
        <v>2</v>
      </c>
      <c r="O7" s="5">
        <v>2</v>
      </c>
    </row>
    <row r="8" spans="1:15" x14ac:dyDescent="0.2">
      <c r="A8" s="9">
        <v>4</v>
      </c>
      <c r="B8" s="9" t="s">
        <v>0</v>
      </c>
      <c r="C8" s="5">
        <v>0.7</v>
      </c>
      <c r="D8" s="5">
        <v>13</v>
      </c>
      <c r="E8" s="5">
        <v>19</v>
      </c>
      <c r="F8" s="5">
        <v>32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32</v>
      </c>
      <c r="N8" s="10">
        <v>4.2300000000000004</v>
      </c>
      <c r="O8" s="5">
        <v>5</v>
      </c>
    </row>
    <row r="9" spans="1:15" x14ac:dyDescent="0.2">
      <c r="A9" s="9">
        <v>4</v>
      </c>
      <c r="B9" s="9" t="s">
        <v>0</v>
      </c>
      <c r="C9" s="5">
        <f>C8</f>
        <v>0.7</v>
      </c>
      <c r="D9" s="5">
        <v>5</v>
      </c>
      <c r="E9" s="5">
        <v>18</v>
      </c>
      <c r="F9" s="5">
        <v>23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23</v>
      </c>
      <c r="N9" s="10">
        <v>3.92</v>
      </c>
      <c r="O9" s="5">
        <v>5</v>
      </c>
    </row>
    <row r="10" spans="1:15" x14ac:dyDescent="0.2">
      <c r="A10" s="9">
        <v>5</v>
      </c>
      <c r="B10" s="9" t="s">
        <v>0</v>
      </c>
      <c r="C10" s="5">
        <v>0.5</v>
      </c>
      <c r="D10" s="5">
        <v>10</v>
      </c>
      <c r="E10" s="5">
        <v>13</v>
      </c>
      <c r="F10" s="5">
        <v>23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23</v>
      </c>
      <c r="N10" s="10">
        <v>3.21</v>
      </c>
      <c r="O10" s="5">
        <v>4</v>
      </c>
    </row>
    <row r="11" spans="1:15" x14ac:dyDescent="0.2">
      <c r="A11" s="9">
        <v>5</v>
      </c>
      <c r="B11" s="9" t="s">
        <v>1</v>
      </c>
      <c r="C11" s="5">
        <f>C10</f>
        <v>0.5</v>
      </c>
      <c r="D11" s="5">
        <v>12</v>
      </c>
      <c r="E11" s="5">
        <v>15</v>
      </c>
      <c r="F11" s="5">
        <v>27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27</v>
      </c>
      <c r="N11" s="10">
        <v>3.78</v>
      </c>
      <c r="O11" s="5">
        <v>5</v>
      </c>
    </row>
    <row r="12" spans="1:15" x14ac:dyDescent="0.2">
      <c r="A12" s="9">
        <v>6</v>
      </c>
      <c r="B12" s="9" t="s">
        <v>0</v>
      </c>
      <c r="C12" s="5">
        <v>0.2</v>
      </c>
      <c r="D12" s="5">
        <v>10</v>
      </c>
      <c r="E12" s="5">
        <v>13</v>
      </c>
      <c r="F12" s="5">
        <v>23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23</v>
      </c>
      <c r="N12" s="10">
        <v>2.86</v>
      </c>
      <c r="O12" s="5">
        <v>3</v>
      </c>
    </row>
    <row r="13" spans="1:15" x14ac:dyDescent="0.2">
      <c r="A13" s="9">
        <v>6</v>
      </c>
      <c r="B13" s="9" t="s">
        <v>1</v>
      </c>
      <c r="C13" s="5">
        <f>C12</f>
        <v>0.2</v>
      </c>
      <c r="D13" s="5">
        <v>10</v>
      </c>
      <c r="E13" s="5">
        <v>15</v>
      </c>
      <c r="F13" s="5">
        <v>25</v>
      </c>
      <c r="G13" s="5">
        <v>1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v>26</v>
      </c>
      <c r="N13" s="10">
        <v>3.48</v>
      </c>
      <c r="O13" s="5">
        <v>5</v>
      </c>
    </row>
    <row r="14" spans="1:15" x14ac:dyDescent="0.2">
      <c r="A14" s="9">
        <v>7</v>
      </c>
      <c r="B14" s="9" t="s">
        <v>0</v>
      </c>
      <c r="C14" s="5">
        <v>0.4</v>
      </c>
      <c r="D14" s="5">
        <v>0</v>
      </c>
      <c r="E14" s="5">
        <v>20</v>
      </c>
      <c r="F14" s="5">
        <v>20</v>
      </c>
      <c r="G14" s="5">
        <v>1</v>
      </c>
      <c r="H14" s="5">
        <v>0</v>
      </c>
      <c r="I14" s="5">
        <v>1</v>
      </c>
      <c r="J14" s="5">
        <v>0</v>
      </c>
      <c r="K14" s="5">
        <v>0</v>
      </c>
      <c r="L14" s="5">
        <v>0</v>
      </c>
      <c r="M14" s="5">
        <v>21</v>
      </c>
      <c r="N14" s="10">
        <v>2.88</v>
      </c>
      <c r="O14" s="5">
        <v>4</v>
      </c>
    </row>
    <row r="15" spans="1:15" x14ac:dyDescent="0.2">
      <c r="A15" s="9">
        <v>7</v>
      </c>
      <c r="B15" s="9" t="s">
        <v>1</v>
      </c>
      <c r="C15" s="5">
        <f>C14</f>
        <v>0.4</v>
      </c>
      <c r="D15" s="5">
        <v>0</v>
      </c>
      <c r="E15" s="5">
        <v>15</v>
      </c>
      <c r="F15" s="5">
        <v>15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15</v>
      </c>
      <c r="N15" s="10">
        <v>1.99</v>
      </c>
      <c r="O15" s="5">
        <v>3</v>
      </c>
    </row>
    <row r="16" spans="1:15" x14ac:dyDescent="0.2">
      <c r="A16" s="9">
        <v>8</v>
      </c>
      <c r="B16" s="9" t="s">
        <v>0</v>
      </c>
      <c r="C16" s="5">
        <v>0.18</v>
      </c>
      <c r="D16" s="5">
        <v>10</v>
      </c>
      <c r="E16" s="5">
        <v>20</v>
      </c>
      <c r="F16" s="5">
        <v>30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30</v>
      </c>
      <c r="N16" s="10">
        <v>3.49</v>
      </c>
      <c r="O16" s="5">
        <v>4</v>
      </c>
    </row>
    <row r="17" spans="1:15" x14ac:dyDescent="0.2">
      <c r="A17" s="9">
        <v>8</v>
      </c>
      <c r="B17" s="9" t="s">
        <v>1</v>
      </c>
      <c r="C17" s="5">
        <f>C16</f>
        <v>0.18</v>
      </c>
      <c r="D17" s="5">
        <v>10</v>
      </c>
      <c r="E17" s="5">
        <v>9</v>
      </c>
      <c r="F17" s="5">
        <v>19</v>
      </c>
      <c r="G17" s="5">
        <v>1</v>
      </c>
      <c r="H17" s="5">
        <v>6</v>
      </c>
      <c r="I17" s="5">
        <v>7</v>
      </c>
      <c r="J17" s="5">
        <v>8</v>
      </c>
      <c r="K17" s="5">
        <v>2</v>
      </c>
      <c r="L17" s="5">
        <v>0</v>
      </c>
      <c r="M17" s="5">
        <v>26</v>
      </c>
      <c r="N17" s="10">
        <v>3.56</v>
      </c>
      <c r="O17" s="5">
        <v>5</v>
      </c>
    </row>
    <row r="18" spans="1:15" x14ac:dyDescent="0.2">
      <c r="A18" s="13">
        <v>9</v>
      </c>
      <c r="B18" s="13" t="s">
        <v>0</v>
      </c>
      <c r="C18" s="5">
        <v>0.01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10</v>
      </c>
      <c r="M18" s="14">
        <v>0</v>
      </c>
      <c r="N18" s="14">
        <v>0</v>
      </c>
      <c r="O18" s="14">
        <v>0</v>
      </c>
    </row>
    <row r="19" spans="1:15" x14ac:dyDescent="0.2">
      <c r="A19" s="13">
        <v>9</v>
      </c>
      <c r="B19" s="13" t="s">
        <v>1</v>
      </c>
      <c r="C19" s="5">
        <f>C18</f>
        <v>0.01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10</v>
      </c>
      <c r="M19" s="14">
        <v>0</v>
      </c>
      <c r="N19" s="14">
        <v>0</v>
      </c>
      <c r="O19" s="14">
        <v>0</v>
      </c>
    </row>
    <row r="20" spans="1:15" x14ac:dyDescent="0.2">
      <c r="A20" s="13">
        <v>10</v>
      </c>
      <c r="B20" s="13" t="s">
        <v>0</v>
      </c>
      <c r="C20" s="5">
        <v>5.0000000000000001E-3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10</v>
      </c>
      <c r="M20" s="14">
        <v>0</v>
      </c>
      <c r="N20" s="14">
        <v>0</v>
      </c>
      <c r="O20" s="14">
        <v>0</v>
      </c>
    </row>
    <row r="21" spans="1:15" x14ac:dyDescent="0.2">
      <c r="A21" s="13">
        <v>10</v>
      </c>
      <c r="B21" s="13" t="s">
        <v>1</v>
      </c>
      <c r="C21" s="5">
        <f>C20</f>
        <v>5.0000000000000001E-3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10</v>
      </c>
      <c r="M21" s="14">
        <v>0</v>
      </c>
      <c r="N21" s="14">
        <v>0</v>
      </c>
      <c r="O21" s="14">
        <v>0</v>
      </c>
    </row>
    <row r="22" spans="1:15" x14ac:dyDescent="0.2">
      <c r="A22" s="13">
        <v>11</v>
      </c>
      <c r="B22" s="13" t="s">
        <v>0</v>
      </c>
      <c r="C22" s="5">
        <v>5.0000000000000001E-3</v>
      </c>
      <c r="D22" s="14">
        <v>0</v>
      </c>
      <c r="E22" s="14">
        <v>0</v>
      </c>
      <c r="F22" s="14">
        <v>0</v>
      </c>
      <c r="G22" s="14">
        <v>0</v>
      </c>
      <c r="H22" s="14">
        <v>3</v>
      </c>
      <c r="I22" s="14">
        <v>3</v>
      </c>
      <c r="J22" s="14">
        <v>3</v>
      </c>
      <c r="K22" s="14">
        <v>0</v>
      </c>
      <c r="L22" s="14">
        <v>7</v>
      </c>
      <c r="M22" s="14">
        <v>3</v>
      </c>
      <c r="N22" s="14">
        <v>1</v>
      </c>
      <c r="O22" s="14">
        <v>1</v>
      </c>
    </row>
    <row r="23" spans="1:15" x14ac:dyDescent="0.2">
      <c r="A23" s="13">
        <v>11</v>
      </c>
      <c r="B23" s="13" t="s">
        <v>1</v>
      </c>
      <c r="C23" s="5">
        <f>C22</f>
        <v>5.0000000000000001E-3</v>
      </c>
      <c r="D23" s="14">
        <v>0</v>
      </c>
      <c r="E23" s="14">
        <v>0</v>
      </c>
      <c r="F23" s="14">
        <v>0</v>
      </c>
      <c r="G23" s="14">
        <v>0</v>
      </c>
      <c r="H23" s="14">
        <v>2</v>
      </c>
      <c r="I23" s="14">
        <v>2</v>
      </c>
      <c r="J23" s="14">
        <v>2</v>
      </c>
      <c r="K23" s="14">
        <v>0</v>
      </c>
      <c r="L23" s="14">
        <v>8</v>
      </c>
      <c r="M23" s="14">
        <v>2</v>
      </c>
      <c r="N23" s="14">
        <v>1</v>
      </c>
      <c r="O23" s="14">
        <v>1</v>
      </c>
    </row>
    <row r="24" spans="1:15" x14ac:dyDescent="0.2">
      <c r="A24" s="13">
        <v>12</v>
      </c>
      <c r="B24" s="13" t="s">
        <v>0</v>
      </c>
      <c r="C24" s="5">
        <v>5.0000000000000001E-3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10</v>
      </c>
      <c r="M24" s="14">
        <v>0</v>
      </c>
      <c r="N24" s="14">
        <v>0</v>
      </c>
      <c r="O24" s="14">
        <v>0</v>
      </c>
    </row>
    <row r="25" spans="1:15" x14ac:dyDescent="0.2">
      <c r="A25" s="13">
        <v>12</v>
      </c>
      <c r="B25" s="13" t="s">
        <v>1</v>
      </c>
      <c r="C25" s="5">
        <f>C24</f>
        <v>5.0000000000000001E-3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10</v>
      </c>
      <c r="M25" s="14">
        <v>0</v>
      </c>
      <c r="N25" s="14">
        <v>0</v>
      </c>
      <c r="O25" s="14">
        <v>0</v>
      </c>
    </row>
    <row r="26" spans="1:15" x14ac:dyDescent="0.2">
      <c r="A26" s="13">
        <v>13</v>
      </c>
      <c r="B26" s="13" t="s">
        <v>0</v>
      </c>
      <c r="C26" s="5">
        <v>0.06</v>
      </c>
      <c r="D26" s="14">
        <v>0</v>
      </c>
      <c r="E26" s="14">
        <v>0</v>
      </c>
      <c r="F26" s="14">
        <v>0</v>
      </c>
      <c r="G26" s="14">
        <v>0</v>
      </c>
      <c r="H26" s="14">
        <v>9</v>
      </c>
      <c r="I26" s="14">
        <v>9</v>
      </c>
      <c r="J26" s="14">
        <v>9</v>
      </c>
      <c r="K26" s="14">
        <v>0</v>
      </c>
      <c r="L26" s="14">
        <v>1</v>
      </c>
      <c r="M26" s="14">
        <v>9</v>
      </c>
      <c r="N26" s="14">
        <v>1</v>
      </c>
      <c r="O26" s="14">
        <v>1</v>
      </c>
    </row>
    <row r="27" spans="1:15" x14ac:dyDescent="0.2">
      <c r="A27" s="13">
        <v>13</v>
      </c>
      <c r="B27" s="13" t="s">
        <v>1</v>
      </c>
      <c r="C27" s="5">
        <f>C26</f>
        <v>0.06</v>
      </c>
      <c r="D27" s="14">
        <v>0</v>
      </c>
      <c r="E27" s="14">
        <v>0</v>
      </c>
      <c r="F27" s="14">
        <v>0</v>
      </c>
      <c r="G27" s="14">
        <v>0</v>
      </c>
      <c r="H27" s="14">
        <v>1</v>
      </c>
      <c r="I27" s="14">
        <v>1</v>
      </c>
      <c r="J27" s="14">
        <v>1</v>
      </c>
      <c r="K27" s="14">
        <v>0</v>
      </c>
      <c r="L27" s="14">
        <v>9</v>
      </c>
      <c r="M27" s="14">
        <v>1</v>
      </c>
      <c r="N27" s="14">
        <v>1</v>
      </c>
      <c r="O27" s="14">
        <v>1</v>
      </c>
    </row>
    <row r="28" spans="1:15" x14ac:dyDescent="0.2">
      <c r="A28" s="13">
        <v>14</v>
      </c>
      <c r="B28" s="13" t="s">
        <v>0</v>
      </c>
      <c r="C28" s="5">
        <v>0.08</v>
      </c>
      <c r="D28" s="14">
        <v>0</v>
      </c>
      <c r="E28" s="14">
        <v>0</v>
      </c>
      <c r="F28" s="14">
        <v>0</v>
      </c>
      <c r="G28" s="14">
        <v>3</v>
      </c>
      <c r="H28" s="14">
        <v>1</v>
      </c>
      <c r="I28" s="14">
        <v>4</v>
      </c>
      <c r="J28" s="14">
        <v>4</v>
      </c>
      <c r="K28" s="14">
        <v>0</v>
      </c>
      <c r="L28" s="14">
        <v>6</v>
      </c>
      <c r="M28" s="14">
        <v>4</v>
      </c>
      <c r="N28" s="14">
        <v>1.6</v>
      </c>
      <c r="O28" s="14">
        <v>2</v>
      </c>
    </row>
    <row r="29" spans="1:15" x14ac:dyDescent="0.2">
      <c r="A29" s="13">
        <v>14</v>
      </c>
      <c r="B29" s="13" t="s">
        <v>1</v>
      </c>
      <c r="C29" s="5">
        <f>C28</f>
        <v>0.08</v>
      </c>
      <c r="D29" s="14">
        <v>0</v>
      </c>
      <c r="E29" s="14">
        <v>0</v>
      </c>
      <c r="F29" s="14">
        <v>0</v>
      </c>
      <c r="G29" s="14">
        <v>0</v>
      </c>
      <c r="H29" s="14">
        <v>5</v>
      </c>
      <c r="I29" s="14">
        <v>5</v>
      </c>
      <c r="J29" s="14">
        <v>5</v>
      </c>
      <c r="K29" s="14">
        <v>0</v>
      </c>
      <c r="L29" s="14">
        <v>5</v>
      </c>
      <c r="M29" s="14">
        <v>5</v>
      </c>
      <c r="N29" s="14">
        <v>1</v>
      </c>
      <c r="O29" s="14">
        <v>1</v>
      </c>
    </row>
    <row r="30" spans="1:15" x14ac:dyDescent="0.2">
      <c r="A30" s="9">
        <v>15</v>
      </c>
      <c r="B30" s="9" t="s">
        <v>0</v>
      </c>
      <c r="C30" s="5">
        <v>0.05</v>
      </c>
      <c r="D30" s="5">
        <v>13</v>
      </c>
      <c r="E30" s="5">
        <v>13</v>
      </c>
      <c r="F30" s="5">
        <v>26</v>
      </c>
      <c r="G30" s="5">
        <v>4</v>
      </c>
      <c r="H30" s="5">
        <v>0</v>
      </c>
      <c r="I30" s="5">
        <v>4</v>
      </c>
      <c r="J30" s="5">
        <v>8</v>
      </c>
      <c r="K30" s="5">
        <v>8</v>
      </c>
      <c r="L30" s="5">
        <v>0</v>
      </c>
      <c r="M30" s="5">
        <v>30</v>
      </c>
      <c r="N30" s="5">
        <v>4.33</v>
      </c>
      <c r="O30" s="5">
        <v>6</v>
      </c>
    </row>
    <row r="31" spans="1:15" x14ac:dyDescent="0.2">
      <c r="A31" s="9">
        <v>15</v>
      </c>
      <c r="B31" s="9" t="s">
        <v>1</v>
      </c>
      <c r="C31" s="5">
        <f>C30</f>
        <v>0.05</v>
      </c>
      <c r="D31" s="5">
        <v>0</v>
      </c>
      <c r="E31" s="5">
        <v>15</v>
      </c>
      <c r="F31" s="5">
        <v>15</v>
      </c>
      <c r="G31" s="5">
        <v>3</v>
      </c>
      <c r="H31" s="5">
        <v>8</v>
      </c>
      <c r="I31" s="5">
        <v>11</v>
      </c>
      <c r="J31" s="5">
        <v>20</v>
      </c>
      <c r="K31" s="5">
        <v>10</v>
      </c>
      <c r="L31" s="5">
        <v>0</v>
      </c>
      <c r="M31" s="5">
        <v>26</v>
      </c>
      <c r="N31" s="5">
        <v>3.48</v>
      </c>
      <c r="O31" s="5">
        <v>5</v>
      </c>
    </row>
    <row r="32" spans="1:15" x14ac:dyDescent="0.2">
      <c r="A32" s="9">
        <v>16</v>
      </c>
      <c r="B32" s="9" t="s">
        <v>0</v>
      </c>
      <c r="C32" s="5">
        <v>0.11</v>
      </c>
      <c r="D32" s="5">
        <v>10</v>
      </c>
      <c r="E32" s="5">
        <v>4</v>
      </c>
      <c r="F32" s="5">
        <v>14</v>
      </c>
      <c r="G32" s="5">
        <v>5</v>
      </c>
      <c r="H32" s="5">
        <v>0</v>
      </c>
      <c r="I32" s="5">
        <v>5</v>
      </c>
      <c r="J32" s="5">
        <v>2</v>
      </c>
      <c r="K32" s="5">
        <v>2</v>
      </c>
      <c r="L32" s="5">
        <v>0</v>
      </c>
      <c r="M32" s="5">
        <v>19</v>
      </c>
      <c r="N32" s="5">
        <v>3</v>
      </c>
      <c r="O32" s="5">
        <v>5</v>
      </c>
    </row>
    <row r="33" spans="1:15" x14ac:dyDescent="0.2">
      <c r="A33" s="9">
        <v>16</v>
      </c>
      <c r="B33" s="9" t="s">
        <v>1</v>
      </c>
      <c r="C33" s="5">
        <f>C32</f>
        <v>0.11</v>
      </c>
      <c r="D33" s="5">
        <v>7</v>
      </c>
      <c r="E33" s="5">
        <v>10</v>
      </c>
      <c r="F33" s="5">
        <v>17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17</v>
      </c>
      <c r="N33" s="5">
        <v>2.5</v>
      </c>
      <c r="O33" s="5">
        <v>3</v>
      </c>
    </row>
    <row r="34" spans="1:15" x14ac:dyDescent="0.2">
      <c r="A34" s="9">
        <v>17</v>
      </c>
      <c r="B34" s="9" t="s">
        <v>0</v>
      </c>
      <c r="C34" s="5">
        <v>0.18</v>
      </c>
      <c r="D34" s="5">
        <v>6</v>
      </c>
      <c r="E34" s="5">
        <v>12</v>
      </c>
      <c r="F34" s="5">
        <v>18</v>
      </c>
      <c r="G34" s="5">
        <v>3</v>
      </c>
      <c r="H34" s="5">
        <v>4</v>
      </c>
      <c r="I34" s="5">
        <v>7</v>
      </c>
      <c r="J34" s="5">
        <v>15</v>
      </c>
      <c r="K34" s="5">
        <v>10</v>
      </c>
      <c r="L34" s="5">
        <v>0</v>
      </c>
      <c r="M34" s="5">
        <v>25</v>
      </c>
      <c r="N34" s="5">
        <v>4.0999999999999996</v>
      </c>
      <c r="O34" s="5">
        <v>7</v>
      </c>
    </row>
    <row r="35" spans="1:15" x14ac:dyDescent="0.2">
      <c r="A35" s="9">
        <v>17</v>
      </c>
      <c r="B35" s="9" t="s">
        <v>1</v>
      </c>
      <c r="C35" s="5">
        <f>C34</f>
        <v>0.18</v>
      </c>
      <c r="D35" s="5">
        <v>9</v>
      </c>
      <c r="E35" s="5">
        <v>14</v>
      </c>
      <c r="F35" s="5">
        <v>23</v>
      </c>
      <c r="G35" s="5">
        <v>0</v>
      </c>
      <c r="H35" s="5">
        <v>3</v>
      </c>
      <c r="I35" s="5">
        <v>3</v>
      </c>
      <c r="J35" s="5">
        <v>4</v>
      </c>
      <c r="K35" s="5">
        <v>1</v>
      </c>
      <c r="L35" s="5">
        <v>0</v>
      </c>
      <c r="M35" s="5">
        <v>26</v>
      </c>
      <c r="N35" s="5">
        <v>4.5999999999999996</v>
      </c>
      <c r="O35" s="5">
        <v>6</v>
      </c>
    </row>
    <row r="36" spans="1:15" x14ac:dyDescent="0.2">
      <c r="A36" s="9">
        <v>18</v>
      </c>
      <c r="B36" s="9" t="s">
        <v>0</v>
      </c>
      <c r="C36" s="5">
        <v>0.35</v>
      </c>
      <c r="D36" s="5">
        <v>7</v>
      </c>
      <c r="E36" s="5">
        <v>12</v>
      </c>
      <c r="F36" s="5">
        <v>19</v>
      </c>
      <c r="G36" s="5">
        <v>0</v>
      </c>
      <c r="H36" s="5">
        <v>0</v>
      </c>
      <c r="I36" s="5">
        <v>0</v>
      </c>
      <c r="J36" s="5">
        <v>2</v>
      </c>
      <c r="K36" s="5">
        <v>2</v>
      </c>
      <c r="L36" s="5">
        <v>0</v>
      </c>
      <c r="M36" s="5">
        <v>19</v>
      </c>
      <c r="N36" s="5">
        <v>2.4</v>
      </c>
      <c r="O36" s="5">
        <v>3</v>
      </c>
    </row>
    <row r="37" spans="1:15" x14ac:dyDescent="0.2">
      <c r="A37" s="9">
        <v>18</v>
      </c>
      <c r="B37" s="9" t="s">
        <v>1</v>
      </c>
      <c r="C37" s="5">
        <f>C36</f>
        <v>0.35</v>
      </c>
      <c r="D37" s="5">
        <v>10</v>
      </c>
      <c r="E37" s="5">
        <v>14</v>
      </c>
      <c r="F37" s="5">
        <v>24</v>
      </c>
      <c r="G37" s="5">
        <v>0</v>
      </c>
      <c r="H37" s="5">
        <v>3</v>
      </c>
      <c r="I37" s="5">
        <v>3</v>
      </c>
      <c r="J37" s="5">
        <v>3</v>
      </c>
      <c r="K37" s="5">
        <v>0</v>
      </c>
      <c r="L37" s="5">
        <v>0</v>
      </c>
      <c r="M37" s="5">
        <v>27</v>
      </c>
      <c r="N37" s="5">
        <v>4</v>
      </c>
      <c r="O37" s="5">
        <v>5</v>
      </c>
    </row>
    <row r="38" spans="1:15" x14ac:dyDescent="0.2">
      <c r="A38" s="9">
        <v>19</v>
      </c>
      <c r="B38" s="9" t="s">
        <v>0</v>
      </c>
      <c r="C38" s="5">
        <v>0.28999999999999998</v>
      </c>
      <c r="D38" s="5">
        <v>10</v>
      </c>
      <c r="E38" s="5">
        <v>17</v>
      </c>
      <c r="F38" s="5">
        <v>27</v>
      </c>
      <c r="G38" s="5">
        <v>0</v>
      </c>
      <c r="H38" s="5">
        <v>5</v>
      </c>
      <c r="I38" s="5">
        <v>5</v>
      </c>
      <c r="J38" s="5">
        <v>5</v>
      </c>
      <c r="K38" s="5">
        <v>0</v>
      </c>
      <c r="L38" s="5">
        <v>0</v>
      </c>
      <c r="M38" s="5">
        <v>32</v>
      </c>
      <c r="N38" s="5">
        <v>4.5</v>
      </c>
      <c r="O38" s="5">
        <v>5</v>
      </c>
    </row>
    <row r="39" spans="1:15" x14ac:dyDescent="0.2">
      <c r="A39" s="9">
        <v>19</v>
      </c>
      <c r="B39" s="9" t="s">
        <v>1</v>
      </c>
      <c r="C39" s="5">
        <f>C38</f>
        <v>0.28999999999999998</v>
      </c>
      <c r="D39" s="5">
        <v>10</v>
      </c>
      <c r="E39" s="5">
        <v>11</v>
      </c>
      <c r="F39" s="5">
        <v>21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21</v>
      </c>
      <c r="N39" s="5">
        <v>3.2</v>
      </c>
      <c r="O39" s="5">
        <v>5</v>
      </c>
    </row>
    <row r="40" spans="1:15" x14ac:dyDescent="0.2">
      <c r="A40" s="9">
        <v>20</v>
      </c>
      <c r="B40" s="9" t="s">
        <v>0</v>
      </c>
      <c r="C40" s="5">
        <v>0.5</v>
      </c>
      <c r="D40" s="5">
        <v>7</v>
      </c>
      <c r="E40" s="5">
        <v>13</v>
      </c>
      <c r="F40" s="5">
        <v>20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20</v>
      </c>
      <c r="N40" s="5">
        <v>2.9</v>
      </c>
      <c r="O40" s="5">
        <v>4</v>
      </c>
    </row>
    <row r="41" spans="1:15" x14ac:dyDescent="0.2">
      <c r="A41" s="9">
        <v>20</v>
      </c>
      <c r="B41" s="9" t="s">
        <v>1</v>
      </c>
      <c r="C41" s="5">
        <f>C40</f>
        <v>0.5</v>
      </c>
      <c r="D41" s="5">
        <v>10</v>
      </c>
      <c r="E41" s="5">
        <v>3</v>
      </c>
      <c r="F41" s="5">
        <v>13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13</v>
      </c>
      <c r="N41" s="5">
        <v>1.6</v>
      </c>
      <c r="O41" s="5">
        <v>2</v>
      </c>
    </row>
    <row r="42" spans="1:15" x14ac:dyDescent="0.2">
      <c r="A42" s="9">
        <v>21</v>
      </c>
      <c r="B42" s="9" t="s">
        <v>0</v>
      </c>
      <c r="C42" s="5">
        <v>0.45</v>
      </c>
      <c r="D42" s="5">
        <v>1</v>
      </c>
      <c r="E42" s="5">
        <v>23</v>
      </c>
      <c r="F42" s="5">
        <v>24</v>
      </c>
      <c r="G42" s="5">
        <v>0</v>
      </c>
      <c r="H42" s="5">
        <v>0</v>
      </c>
      <c r="I42" s="5">
        <v>0</v>
      </c>
      <c r="J42" s="5">
        <v>9</v>
      </c>
      <c r="K42" s="5">
        <v>9</v>
      </c>
      <c r="L42" s="5">
        <v>0</v>
      </c>
      <c r="M42" s="5">
        <v>24</v>
      </c>
      <c r="N42" s="5">
        <v>2.9</v>
      </c>
      <c r="O42" s="5">
        <v>4</v>
      </c>
    </row>
    <row r="43" spans="1:15" x14ac:dyDescent="0.2">
      <c r="A43" s="9">
        <v>21</v>
      </c>
      <c r="B43" s="9" t="s">
        <v>1</v>
      </c>
      <c r="C43" s="5">
        <f>C42</f>
        <v>0.45</v>
      </c>
      <c r="D43" s="5">
        <v>10</v>
      </c>
      <c r="E43" s="5">
        <v>18</v>
      </c>
      <c r="F43" s="5">
        <v>28</v>
      </c>
      <c r="G43" s="5">
        <v>0</v>
      </c>
      <c r="H43" s="5">
        <v>7</v>
      </c>
      <c r="I43" s="5">
        <v>7</v>
      </c>
      <c r="J43" s="5">
        <v>7</v>
      </c>
      <c r="K43" s="5">
        <v>0</v>
      </c>
      <c r="L43" s="5">
        <v>0</v>
      </c>
      <c r="M43" s="5">
        <v>35</v>
      </c>
      <c r="N43" s="5">
        <v>3.9</v>
      </c>
      <c r="O43" s="5">
        <v>4</v>
      </c>
    </row>
    <row r="44" spans="1:15" x14ac:dyDescent="0.2">
      <c r="A44" s="9">
        <v>22</v>
      </c>
      <c r="B44" s="9" t="s">
        <v>0</v>
      </c>
      <c r="C44" s="5">
        <v>0.69</v>
      </c>
      <c r="D44" s="5">
        <v>7</v>
      </c>
      <c r="E44" s="5">
        <v>18</v>
      </c>
      <c r="F44" s="5">
        <v>25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25</v>
      </c>
      <c r="N44" s="5">
        <v>3.9</v>
      </c>
      <c r="O44" s="5">
        <v>4</v>
      </c>
    </row>
    <row r="45" spans="1:15" x14ac:dyDescent="0.2">
      <c r="A45" s="9">
        <v>22</v>
      </c>
      <c r="B45" s="9" t="s">
        <v>1</v>
      </c>
      <c r="C45" s="5">
        <f>C44</f>
        <v>0.69</v>
      </c>
      <c r="D45" s="5">
        <v>10</v>
      </c>
      <c r="E45" s="5">
        <v>13</v>
      </c>
      <c r="F45" s="5">
        <v>23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23</v>
      </c>
      <c r="N45" s="5">
        <v>4.5999999999999996</v>
      </c>
      <c r="O45" s="5">
        <v>6</v>
      </c>
    </row>
    <row r="46" spans="1:15" x14ac:dyDescent="0.2">
      <c r="A46" s="9">
        <v>23</v>
      </c>
      <c r="B46" s="9" t="s">
        <v>0</v>
      </c>
      <c r="C46" s="5">
        <v>0.8</v>
      </c>
      <c r="D46" s="5">
        <v>0</v>
      </c>
      <c r="E46" s="5">
        <v>10</v>
      </c>
      <c r="F46" s="5">
        <v>10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10</v>
      </c>
      <c r="N46" s="5">
        <v>1</v>
      </c>
      <c r="O46" s="5">
        <v>1</v>
      </c>
    </row>
    <row r="47" spans="1:15" x14ac:dyDescent="0.2">
      <c r="A47" s="9">
        <v>23</v>
      </c>
      <c r="B47" s="9" t="s">
        <v>1</v>
      </c>
      <c r="C47" s="5">
        <f>C46</f>
        <v>0.8</v>
      </c>
      <c r="D47" s="5">
        <v>10</v>
      </c>
      <c r="E47" s="5">
        <v>25</v>
      </c>
      <c r="F47" s="5">
        <v>35</v>
      </c>
      <c r="G47" s="5">
        <v>1</v>
      </c>
      <c r="H47" s="5">
        <v>0</v>
      </c>
      <c r="I47" s="5">
        <v>1</v>
      </c>
      <c r="J47" s="5">
        <v>0</v>
      </c>
      <c r="K47" s="5">
        <v>0</v>
      </c>
      <c r="L47" s="5">
        <v>0</v>
      </c>
      <c r="M47" s="5">
        <v>36</v>
      </c>
      <c r="N47" s="5">
        <v>4</v>
      </c>
      <c r="O47" s="5">
        <v>5</v>
      </c>
    </row>
    <row r="48" spans="1:15" x14ac:dyDescent="0.2">
      <c r="A48" s="9">
        <v>24</v>
      </c>
      <c r="B48" s="9" t="s">
        <v>0</v>
      </c>
      <c r="C48" s="5">
        <v>0.5</v>
      </c>
      <c r="D48" s="5">
        <v>8</v>
      </c>
      <c r="E48" s="5">
        <v>10</v>
      </c>
      <c r="F48" s="5">
        <v>18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18</v>
      </c>
      <c r="N48" s="5">
        <v>2</v>
      </c>
      <c r="O48" s="5">
        <v>2</v>
      </c>
    </row>
    <row r="49" spans="1:15" x14ac:dyDescent="0.2">
      <c r="A49" s="9">
        <v>24</v>
      </c>
      <c r="B49" s="9" t="s">
        <v>1</v>
      </c>
      <c r="C49" s="5">
        <f>C48</f>
        <v>0.5</v>
      </c>
      <c r="D49" s="5">
        <v>10</v>
      </c>
      <c r="E49" s="5">
        <v>5</v>
      </c>
      <c r="F49" s="5">
        <v>15</v>
      </c>
      <c r="G49" s="5">
        <v>1</v>
      </c>
      <c r="H49" s="5">
        <v>0</v>
      </c>
      <c r="I49" s="5">
        <v>1</v>
      </c>
      <c r="J49" s="5">
        <v>0</v>
      </c>
      <c r="K49" s="5">
        <v>0</v>
      </c>
      <c r="L49" s="5">
        <v>0</v>
      </c>
      <c r="M49" s="5">
        <v>16</v>
      </c>
      <c r="N49" s="5">
        <v>2.2000000000000002</v>
      </c>
      <c r="O49" s="5">
        <v>4</v>
      </c>
    </row>
    <row r="50" spans="1:15" x14ac:dyDescent="0.2">
      <c r="A50" s="9">
        <v>25</v>
      </c>
      <c r="B50" s="9" t="s">
        <v>0</v>
      </c>
      <c r="C50" s="5">
        <v>0.2</v>
      </c>
      <c r="D50" s="5">
        <v>10</v>
      </c>
      <c r="E50" s="5">
        <v>25</v>
      </c>
      <c r="F50" s="5">
        <v>35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35</v>
      </c>
      <c r="N50" s="5">
        <v>4.4000000000000004</v>
      </c>
      <c r="O50" s="5">
        <v>5</v>
      </c>
    </row>
    <row r="51" spans="1:15" x14ac:dyDescent="0.2">
      <c r="A51" s="9">
        <v>25</v>
      </c>
      <c r="B51" s="9" t="s">
        <v>1</v>
      </c>
      <c r="C51" s="5">
        <f>C50</f>
        <v>0.2</v>
      </c>
      <c r="D51" s="5">
        <v>13</v>
      </c>
      <c r="E51" s="5">
        <v>28</v>
      </c>
      <c r="F51" s="5">
        <v>41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41</v>
      </c>
      <c r="N51" s="5">
        <v>4.8</v>
      </c>
      <c r="O51" s="5">
        <v>5</v>
      </c>
    </row>
    <row r="52" spans="1:15" x14ac:dyDescent="0.2">
      <c r="A52" s="9">
        <v>26</v>
      </c>
      <c r="B52" s="9" t="s">
        <v>0</v>
      </c>
      <c r="C52" s="5">
        <v>0.8</v>
      </c>
      <c r="D52" s="5">
        <v>10</v>
      </c>
      <c r="E52" s="5">
        <v>13</v>
      </c>
      <c r="F52" s="5">
        <v>23</v>
      </c>
      <c r="G52" s="5">
        <v>0</v>
      </c>
      <c r="H52" s="5">
        <v>5</v>
      </c>
      <c r="I52" s="5">
        <v>5</v>
      </c>
      <c r="J52" s="5">
        <v>5</v>
      </c>
      <c r="K52" s="5">
        <v>0</v>
      </c>
      <c r="L52" s="5">
        <v>0</v>
      </c>
      <c r="M52" s="5">
        <v>28</v>
      </c>
      <c r="N52" s="5">
        <v>4</v>
      </c>
      <c r="O52" s="5">
        <v>5</v>
      </c>
    </row>
    <row r="53" spans="1:15" x14ac:dyDescent="0.2">
      <c r="A53" s="9">
        <v>26</v>
      </c>
      <c r="B53" s="9" t="s">
        <v>1</v>
      </c>
      <c r="C53" s="5">
        <f>C52</f>
        <v>0.8</v>
      </c>
      <c r="D53" s="5">
        <v>10</v>
      </c>
      <c r="E53" s="5">
        <v>2</v>
      </c>
      <c r="F53" s="5">
        <v>12</v>
      </c>
      <c r="G53" s="5">
        <v>0</v>
      </c>
      <c r="H53" s="5">
        <v>2</v>
      </c>
      <c r="I53" s="5">
        <v>2</v>
      </c>
      <c r="J53" s="5">
        <v>4</v>
      </c>
      <c r="K53" s="5">
        <v>2</v>
      </c>
      <c r="L53" s="5">
        <v>0</v>
      </c>
      <c r="M53" s="5">
        <v>14</v>
      </c>
      <c r="N53" s="5">
        <v>1.8</v>
      </c>
      <c r="O53" s="5">
        <v>3</v>
      </c>
    </row>
    <row r="54" spans="1:15" x14ac:dyDescent="0.2">
      <c r="A54" s="13">
        <v>28</v>
      </c>
      <c r="B54" s="13" t="s">
        <v>0</v>
      </c>
      <c r="C54" s="5">
        <v>0.05</v>
      </c>
      <c r="D54" s="14">
        <v>0</v>
      </c>
      <c r="E54" s="14">
        <v>8</v>
      </c>
      <c r="F54" s="14">
        <v>8</v>
      </c>
      <c r="G54" s="14">
        <v>4</v>
      </c>
      <c r="H54" s="14">
        <v>5</v>
      </c>
      <c r="I54" s="14">
        <v>9</v>
      </c>
      <c r="J54" s="14">
        <v>13</v>
      </c>
      <c r="K54" s="14">
        <v>8</v>
      </c>
      <c r="L54" s="14">
        <v>1</v>
      </c>
      <c r="M54" s="14">
        <v>17</v>
      </c>
      <c r="N54" s="15">
        <v>2.92</v>
      </c>
      <c r="O54" s="14">
        <v>4</v>
      </c>
    </row>
    <row r="55" spans="1:15" x14ac:dyDescent="0.2">
      <c r="A55" s="13">
        <v>28</v>
      </c>
      <c r="B55" s="13" t="s">
        <v>1</v>
      </c>
      <c r="C55" s="5">
        <f>C54</f>
        <v>0.05</v>
      </c>
      <c r="D55" s="14">
        <v>0</v>
      </c>
      <c r="E55" s="14">
        <v>10</v>
      </c>
      <c r="F55" s="14">
        <v>10</v>
      </c>
      <c r="G55" s="14">
        <v>2</v>
      </c>
      <c r="H55" s="14">
        <v>6</v>
      </c>
      <c r="I55" s="14">
        <v>8</v>
      </c>
      <c r="J55" s="14">
        <v>16</v>
      </c>
      <c r="K55" s="14">
        <v>10</v>
      </c>
      <c r="L55" s="14">
        <v>0</v>
      </c>
      <c r="M55" s="14">
        <v>18</v>
      </c>
      <c r="N55" s="15">
        <v>2.31</v>
      </c>
      <c r="O55" s="14">
        <v>3</v>
      </c>
    </row>
    <row r="56" spans="1:15" x14ac:dyDescent="0.2">
      <c r="A56" s="13">
        <v>29</v>
      </c>
      <c r="B56" s="13" t="s">
        <v>0</v>
      </c>
      <c r="C56" s="5">
        <v>0.03</v>
      </c>
      <c r="D56" s="14">
        <v>0</v>
      </c>
      <c r="E56" s="14">
        <v>0</v>
      </c>
      <c r="F56" s="14">
        <v>0</v>
      </c>
      <c r="G56" s="14">
        <v>1</v>
      </c>
      <c r="H56" s="14">
        <v>7</v>
      </c>
      <c r="I56" s="14">
        <v>8</v>
      </c>
      <c r="J56" s="14">
        <v>7</v>
      </c>
      <c r="K56" s="14">
        <v>0</v>
      </c>
      <c r="L56" s="14">
        <v>3</v>
      </c>
      <c r="M56" s="14">
        <v>8</v>
      </c>
      <c r="N56" s="15">
        <v>1.28</v>
      </c>
      <c r="O56" s="14">
        <v>2</v>
      </c>
    </row>
    <row r="57" spans="1:15" x14ac:dyDescent="0.2">
      <c r="A57" s="13">
        <v>29</v>
      </c>
      <c r="B57" s="13" t="s">
        <v>1</v>
      </c>
      <c r="C57" s="5">
        <f>C56</f>
        <v>0.03</v>
      </c>
      <c r="D57" s="14">
        <v>0</v>
      </c>
      <c r="E57" s="14">
        <v>1</v>
      </c>
      <c r="F57" s="14">
        <v>1</v>
      </c>
      <c r="G57" s="14">
        <v>4</v>
      </c>
      <c r="H57" s="14">
        <v>4</v>
      </c>
      <c r="I57" s="14">
        <v>8</v>
      </c>
      <c r="J57" s="14">
        <v>5</v>
      </c>
      <c r="K57" s="14">
        <v>1</v>
      </c>
      <c r="L57" s="14">
        <v>2</v>
      </c>
      <c r="M57" s="14">
        <v>11</v>
      </c>
      <c r="N57" s="15">
        <v>3.24</v>
      </c>
      <c r="O57" s="14">
        <v>4</v>
      </c>
    </row>
    <row r="58" spans="1:15" x14ac:dyDescent="0.2">
      <c r="A58" s="13">
        <v>30</v>
      </c>
      <c r="B58" s="13" t="s">
        <v>0</v>
      </c>
      <c r="C58" s="5">
        <v>0.01</v>
      </c>
      <c r="D58" s="14">
        <v>7</v>
      </c>
      <c r="E58" s="14">
        <v>7</v>
      </c>
      <c r="F58" s="14">
        <v>14</v>
      </c>
      <c r="G58" s="14">
        <v>2</v>
      </c>
      <c r="H58" s="14">
        <v>2</v>
      </c>
      <c r="I58" s="14">
        <v>4</v>
      </c>
      <c r="J58" s="14">
        <v>6</v>
      </c>
      <c r="K58" s="14">
        <v>4</v>
      </c>
      <c r="L58" s="14">
        <v>1</v>
      </c>
      <c r="M58" s="14">
        <v>18</v>
      </c>
      <c r="N58" s="15">
        <v>3.95</v>
      </c>
      <c r="O58" s="14">
        <v>5</v>
      </c>
    </row>
    <row r="59" spans="1:15" x14ac:dyDescent="0.2">
      <c r="A59" s="13">
        <v>30</v>
      </c>
      <c r="B59" s="13" t="s">
        <v>1</v>
      </c>
      <c r="C59" s="5">
        <f>C58</f>
        <v>0.01</v>
      </c>
      <c r="D59" s="14">
        <v>0</v>
      </c>
      <c r="E59" s="14">
        <v>6</v>
      </c>
      <c r="F59" s="14">
        <v>6</v>
      </c>
      <c r="G59" s="14">
        <v>1</v>
      </c>
      <c r="H59" s="14">
        <v>5</v>
      </c>
      <c r="I59" s="14">
        <v>6</v>
      </c>
      <c r="J59" s="14">
        <v>11</v>
      </c>
      <c r="K59" s="14">
        <v>6</v>
      </c>
      <c r="L59" s="14">
        <v>2</v>
      </c>
      <c r="M59" s="14">
        <v>12</v>
      </c>
      <c r="N59" s="15">
        <v>2.3199999999999998</v>
      </c>
      <c r="O59" s="14">
        <v>3</v>
      </c>
    </row>
    <row r="60" spans="1:15" x14ac:dyDescent="0.2">
      <c r="A60" s="13">
        <v>31</v>
      </c>
      <c r="B60" s="13" t="s">
        <v>0</v>
      </c>
      <c r="C60" s="5">
        <v>0.01</v>
      </c>
      <c r="D60" s="14">
        <v>0</v>
      </c>
      <c r="E60" s="14">
        <v>5</v>
      </c>
      <c r="F60" s="14">
        <v>5</v>
      </c>
      <c r="G60" s="14">
        <v>5</v>
      </c>
      <c r="H60" s="14">
        <v>10</v>
      </c>
      <c r="I60" s="14">
        <v>15</v>
      </c>
      <c r="J60" s="14">
        <v>10</v>
      </c>
      <c r="K60" s="14">
        <v>0</v>
      </c>
      <c r="L60" s="14">
        <v>0</v>
      </c>
      <c r="M60" s="14">
        <v>20</v>
      </c>
      <c r="N60" s="15">
        <v>2.94</v>
      </c>
      <c r="O60" s="14">
        <v>5</v>
      </c>
    </row>
    <row r="61" spans="1:15" x14ac:dyDescent="0.2">
      <c r="A61" s="13">
        <v>31</v>
      </c>
      <c r="B61" s="13" t="s">
        <v>1</v>
      </c>
      <c r="C61" s="5">
        <f>C60</f>
        <v>0.01</v>
      </c>
      <c r="D61" s="14">
        <v>0</v>
      </c>
      <c r="E61" s="14">
        <v>0</v>
      </c>
      <c r="F61" s="14">
        <v>0</v>
      </c>
      <c r="G61" s="14">
        <v>4</v>
      </c>
      <c r="H61" s="14">
        <v>8</v>
      </c>
      <c r="I61" s="14">
        <v>12</v>
      </c>
      <c r="J61" s="14">
        <v>8</v>
      </c>
      <c r="K61" s="14">
        <v>0</v>
      </c>
      <c r="L61" s="14">
        <v>1</v>
      </c>
      <c r="M61" s="14">
        <v>12</v>
      </c>
      <c r="N61" s="15">
        <v>1.95</v>
      </c>
      <c r="O61" s="14">
        <v>3</v>
      </c>
    </row>
    <row r="62" spans="1:15" x14ac:dyDescent="0.2">
      <c r="A62" s="9">
        <v>32</v>
      </c>
      <c r="B62" s="9" t="s">
        <v>0</v>
      </c>
      <c r="C62" s="5">
        <v>5.0000000000000001E-3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10</v>
      </c>
      <c r="M62" s="5">
        <v>0</v>
      </c>
      <c r="N62" s="5">
        <v>0</v>
      </c>
      <c r="O62" s="5">
        <v>0</v>
      </c>
    </row>
    <row r="63" spans="1:15" x14ac:dyDescent="0.2">
      <c r="A63" s="9">
        <v>32</v>
      </c>
      <c r="B63" s="9" t="s">
        <v>1</v>
      </c>
      <c r="C63" s="5">
        <f>C62</f>
        <v>5.0000000000000001E-3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10</v>
      </c>
      <c r="M63" s="5">
        <v>0</v>
      </c>
      <c r="N63" s="5">
        <v>0</v>
      </c>
      <c r="O63" s="5">
        <v>0</v>
      </c>
    </row>
    <row r="64" spans="1:15" x14ac:dyDescent="0.2">
      <c r="A64" s="9">
        <v>33</v>
      </c>
      <c r="B64" s="9" t="s">
        <v>0</v>
      </c>
      <c r="C64" s="5">
        <v>5.0000000000000001E-3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10</v>
      </c>
      <c r="M64" s="5">
        <v>0</v>
      </c>
      <c r="N64" s="5">
        <v>0</v>
      </c>
      <c r="O64" s="5">
        <v>0</v>
      </c>
    </row>
    <row r="65" spans="1:15" x14ac:dyDescent="0.2">
      <c r="A65" s="9">
        <v>33</v>
      </c>
      <c r="B65" s="9" t="s">
        <v>1</v>
      </c>
      <c r="C65" s="5">
        <v>5.0000000000000001E-3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10</v>
      </c>
      <c r="M65" s="5">
        <v>0</v>
      </c>
      <c r="N65" s="5">
        <v>0</v>
      </c>
      <c r="O65" s="5">
        <v>0</v>
      </c>
    </row>
    <row r="66" spans="1:15" x14ac:dyDescent="0.2">
      <c r="A66" s="9">
        <v>34</v>
      </c>
      <c r="B66" s="9" t="s">
        <v>0</v>
      </c>
      <c r="C66" s="5">
        <v>5.0000000000000001E-3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10</v>
      </c>
      <c r="M66" s="5">
        <v>0</v>
      </c>
      <c r="N66" s="5">
        <v>0</v>
      </c>
      <c r="O66" s="5">
        <v>0</v>
      </c>
    </row>
    <row r="67" spans="1:15" x14ac:dyDescent="0.2">
      <c r="A67" s="9">
        <v>34</v>
      </c>
      <c r="B67" s="9" t="s">
        <v>1</v>
      </c>
      <c r="C67" s="5">
        <v>5.0000000000000001E-3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10</v>
      </c>
      <c r="M67" s="5">
        <v>0</v>
      </c>
      <c r="N67" s="5">
        <v>0</v>
      </c>
      <c r="O67" s="5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Functional Group Means</vt:lpstr>
      <vt:lpstr>N Content</vt:lpstr>
      <vt:lpstr>ANOVA USE</vt:lpstr>
      <vt:lpstr>REGRESSION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Policha</dc:creator>
  <cp:lastModifiedBy>Alicia Bierly</cp:lastModifiedBy>
  <dcterms:created xsi:type="dcterms:W3CDTF">2024-02-21T06:42:30Z</dcterms:created>
  <dcterms:modified xsi:type="dcterms:W3CDTF">2025-03-03T04:43:53Z</dcterms:modified>
</cp:coreProperties>
</file>